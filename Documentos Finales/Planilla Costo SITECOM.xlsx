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h713\Downloads\"/>
    </mc:Choice>
  </mc:AlternateContent>
  <xr:revisionPtr revIDLastSave="0" documentId="8_{03A39D2B-BF2F-4246-BC7A-6DE5AECB3B39}" xr6:coauthVersionLast="47" xr6:coauthVersionMax="47" xr10:uidLastSave="{00000000-0000-0000-0000-000000000000}"/>
  <bookViews>
    <workbookView xWindow="-120" yWindow="-120" windowWidth="19440" windowHeight="10320" firstSheet="1" activeTab="4" xr2:uid="{00000000-000D-0000-FFFF-FFFF00000000}"/>
  </bookViews>
  <sheets>
    <sheet name="REMUNERACIONES" sheetId="1" r:id="rId1"/>
    <sheet name="EQUIPOS E INFRAESTRUCTURA" sheetId="2" r:id="rId2"/>
    <sheet name="SOFTWARE Y FUNGIBLES" sheetId="3" r:id="rId3"/>
    <sheet name="OTROS" sheetId="4" r:id="rId4"/>
    <sheet name="TOT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g9Hw4eQMv3Giw8YyRmeTrWB/bvTg=="/>
    </ext>
  </extLst>
</workbook>
</file>

<file path=xl/calcChain.xml><?xml version="1.0" encoding="utf-8"?>
<calcChain xmlns="http://schemas.openxmlformats.org/spreadsheetml/2006/main">
  <c r="D58" i="4" l="1"/>
  <c r="D59" i="4"/>
  <c r="D60" i="4"/>
  <c r="D61" i="4"/>
  <c r="D62" i="4"/>
  <c r="D63" i="4"/>
  <c r="D64" i="4"/>
  <c r="D75" i="4"/>
  <c r="D76" i="4"/>
  <c r="D77" i="4"/>
  <c r="D78" i="4"/>
  <c r="D79" i="4"/>
  <c r="D80" i="4"/>
  <c r="D81" i="4"/>
  <c r="D65" i="4"/>
  <c r="D82" i="4"/>
  <c r="F17" i="2"/>
  <c r="F18" i="2"/>
  <c r="F19" i="2"/>
  <c r="F20" i="2"/>
  <c r="F21" i="2"/>
  <c r="E9" i="1"/>
  <c r="H9" i="1" s="1"/>
  <c r="E14" i="1"/>
  <c r="E15" i="1"/>
  <c r="E16" i="1"/>
  <c r="H16" i="1" s="1"/>
  <c r="D44" i="4"/>
  <c r="D43" i="4"/>
  <c r="D38" i="3"/>
  <c r="D37" i="3"/>
  <c r="D36" i="3"/>
  <c r="D35" i="3"/>
  <c r="D14" i="3"/>
  <c r="F42" i="2"/>
  <c r="F41" i="2"/>
  <c r="F24" i="2"/>
  <c r="F23" i="2"/>
  <c r="F22" i="2"/>
  <c r="F16" i="2"/>
  <c r="F15" i="2"/>
  <c r="F14" i="2"/>
  <c r="H24" i="1"/>
  <c r="E24" i="1"/>
  <c r="E23" i="1"/>
  <c r="H23" i="1" s="1"/>
  <c r="E22" i="1"/>
  <c r="H22" i="1" s="1"/>
  <c r="H21" i="1"/>
  <c r="E21" i="1"/>
  <c r="E20" i="1"/>
  <c r="H20" i="1" s="1"/>
  <c r="H19" i="1"/>
  <c r="H17" i="1"/>
  <c r="E17" i="1"/>
  <c r="E13" i="1"/>
  <c r="H12" i="1"/>
  <c r="E12" i="1"/>
  <c r="E11" i="1"/>
  <c r="H11" i="1" s="1"/>
  <c r="H10" i="1"/>
  <c r="E8" i="1"/>
  <c r="H8" i="1" s="1"/>
  <c r="E7" i="1"/>
  <c r="H7" i="1" s="1"/>
  <c r="D66" i="4" l="1"/>
  <c r="F43" i="2"/>
  <c r="B9" i="5" s="1"/>
  <c r="D83" i="4"/>
  <c r="D12" i="4"/>
  <c r="B11" i="5" s="1"/>
  <c r="B10" i="5"/>
  <c r="F25" i="2"/>
  <c r="B8" i="5" s="1"/>
  <c r="D39" i="3"/>
  <c r="D45" i="4"/>
  <c r="B12" i="5" s="1"/>
  <c r="D25" i="4"/>
  <c r="B13" i="5" s="1"/>
  <c r="H25" i="1"/>
  <c r="B7" i="5" s="1"/>
  <c r="B14" i="5" l="1"/>
</calcChain>
</file>

<file path=xl/sharedStrings.xml><?xml version="1.0" encoding="utf-8"?>
<sst xmlns="http://schemas.openxmlformats.org/spreadsheetml/2006/main" count="270" uniqueCount="132">
  <si>
    <t>REMUNERACIONES, HONORARIOS E INCENTIVOS</t>
  </si>
  <si>
    <t>HONORARIOS</t>
  </si>
  <si>
    <t>INCENTIVOS</t>
  </si>
  <si>
    <t>REMUNERACIONES</t>
  </si>
  <si>
    <t xml:space="preserve"> </t>
  </si>
  <si>
    <t>DEDICACION</t>
  </si>
  <si>
    <t>MESES A</t>
  </si>
  <si>
    <t>TOTAL</t>
  </si>
  <si>
    <t>ITEM</t>
  </si>
  <si>
    <t>J. COMPLETA</t>
  </si>
  <si>
    <t>SUBTOTAL</t>
  </si>
  <si>
    <t>AL PROYECTO</t>
  </si>
  <si>
    <t>CONTRATAR</t>
  </si>
  <si>
    <t>PROYECTO</t>
  </si>
  <si>
    <t>M$/MES</t>
  </si>
  <si>
    <t>% DE JORNADA</t>
  </si>
  <si>
    <t>Nº</t>
  </si>
  <si>
    <t>$</t>
  </si>
  <si>
    <t>Profesionales</t>
  </si>
  <si>
    <t>Personal de apoyo</t>
  </si>
  <si>
    <t>EQUIPOS</t>
  </si>
  <si>
    <t>COSTO</t>
  </si>
  <si>
    <t>UNITARIO</t>
  </si>
  <si>
    <t>CANTIDAD</t>
  </si>
  <si>
    <t>NOMBRE DEL EQUIPO</t>
  </si>
  <si>
    <t>DESCRIPCIÓN</t>
  </si>
  <si>
    <t>CASO ADQUISICIONES</t>
  </si>
  <si>
    <t>CASO ARRIENDO O USO</t>
  </si>
  <si>
    <t>UNIDADES</t>
  </si>
  <si>
    <t>M$/UNIDAD</t>
  </si>
  <si>
    <t>UNIDADES EXISTENTES (M$/MES)</t>
  </si>
  <si>
    <t>O MESES</t>
  </si>
  <si>
    <t>INFRAESTRUCTURA</t>
  </si>
  <si>
    <t>NOMBRE DE LA INFRAESTRUCTURA</t>
  </si>
  <si>
    <t>O HABILITACIÓNM$/UNIDAD</t>
  </si>
  <si>
    <t>SOFTWARE</t>
  </si>
  <si>
    <t>FUNGIBLES</t>
  </si>
  <si>
    <t>PROPIEDAD INTELECTUAL</t>
  </si>
  <si>
    <t>GASTOS GENERALES E IMPREVISTOS</t>
  </si>
  <si>
    <t>GASTOS COMUNES</t>
  </si>
  <si>
    <t>GASTOS DE MANTENIMIENTO</t>
  </si>
  <si>
    <t>COSTOS DE MANTENIMIENTO</t>
  </si>
  <si>
    <t>COSTO TOTAL DEL PROYECTO MED SENSE</t>
  </si>
  <si>
    <t>HONORARIOS, INCENTIVOS, REMUNERACIONES</t>
  </si>
  <si>
    <t xml:space="preserve"> DESCRIPCIÓN</t>
  </si>
  <si>
    <t>Scrum Master</t>
  </si>
  <si>
    <t>Product Owner</t>
  </si>
  <si>
    <t>Full Stack Dev</t>
  </si>
  <si>
    <t>COSTO TOTAL ($)</t>
  </si>
  <si>
    <t>Notebook de Desarrollo</t>
  </si>
  <si>
    <t>Equipo para desarrollo (i5/i7, 16GB RAM, SSD 512GB)</t>
  </si>
  <si>
    <t>3 unidades</t>
  </si>
  <si>
    <t>VPS / Servidor Cloud</t>
  </si>
  <si>
    <t>Hosting backend .NET + PostgreSQL (2vCPU / 4GB RAM / 80GB SSD)</t>
  </si>
  <si>
    <t>35.000 / mes</t>
  </si>
  <si>
    <t>5 meses</t>
  </si>
  <si>
    <t>Dominio web</t>
  </si>
  <si>
    <t>Registro dominio .cl por 1 año</t>
  </si>
  <si>
    <t>1 unidad</t>
  </si>
  <si>
    <t>Certificado SSL</t>
  </si>
  <si>
    <t>SSL básico para el dominio (Let’s Encrypt es gratis, pero formalmente se incluye)</t>
  </si>
  <si>
    <t>Almacenamiento Cloudflare R2</t>
  </si>
  <si>
    <t>Almacenamiento de imágenes (sitio, certificados, noticias)</t>
  </si>
  <si>
    <t>5.000 / mes</t>
  </si>
  <si>
    <t>Internet Hogar (teletrabajo)</t>
  </si>
  <si>
    <t>Conexión para desarrollo del proyecto</t>
  </si>
  <si>
    <t>30.000 / mes</t>
  </si>
  <si>
    <t>Mouse + Teclado</t>
  </si>
  <si>
    <t>Periféricos esenciales</t>
  </si>
  <si>
    <t>Monitor adicional 24"</t>
  </si>
  <si>
    <t>Monitores para desarrollo</t>
  </si>
  <si>
    <t>2 unidades</t>
  </si>
  <si>
    <t>Espacio de trabajo colaborativo (Cowork)</t>
  </si>
  <si>
    <t>Uso de sala para reuniones, planificación y desarrollo</t>
  </si>
  <si>
    <t>120.000 / mes</t>
  </si>
  <si>
    <t>Electricidad e insumos operacionales</t>
  </si>
  <si>
    <t>Costos de energía para equipos, carga de notebooks y periféricos</t>
  </si>
  <si>
    <t>10.000 / mes</t>
  </si>
  <si>
    <t>Servicio de Internet de alta velocidad</t>
  </si>
  <si>
    <t>Conectividad estable necesaria para desarrollo y despliegue</t>
  </si>
  <si>
    <t>25.000 / mes</t>
  </si>
  <si>
    <t>Espacio servidor / rack virtual</t>
  </si>
  <si>
    <t>Infraestructura física en datacenter (equivalente a hosting físico)</t>
  </si>
  <si>
    <t>20.000 / mes</t>
  </si>
  <si>
    <t>Mobiliario básico (mesas y sillas)</t>
  </si>
  <si>
    <t>Habilitación física mínima</t>
  </si>
  <si>
    <t>Sala de reuniones (institución o arriendo)</t>
  </si>
  <si>
    <t>Uso esporádico para sprint reviews y planning</t>
  </si>
  <si>
    <t>15.000 / mes</t>
  </si>
  <si>
    <t>Licencias infraestructura de red</t>
  </si>
  <si>
    <t>Firewall, VPN, protección y acceso seguro (versión básica educativa)</t>
  </si>
  <si>
    <t>Cloudflare R2 (Storage)</t>
  </si>
  <si>
    <t>VPS (2 vCPU / 4GB RAM / 80GB SSD)</t>
  </si>
  <si>
    <t>Dominio .cl</t>
  </si>
  <si>
    <t>12.000 anual</t>
  </si>
  <si>
    <t>Certificado SSL (Cloudflare/Let's Encrypt)</t>
  </si>
  <si>
    <t>GitHub (repositorio privado)</t>
  </si>
  <si>
    <t>0 (plan free)</t>
  </si>
  <si>
    <t>Visual Studio Code</t>
  </si>
  <si>
    <t>PostgreSQL / PGAdmin</t>
  </si>
  <si>
    <t>Netlify (Hosting Frontend)</t>
  </si>
  <si>
    <t>Cuadernos y libretas para reuniones</t>
  </si>
  <si>
    <t>Lápices (set 12 unidades)</t>
  </si>
  <si>
    <t>Post-it para planificación (Scrum)</t>
  </si>
  <si>
    <t>Marcadores de pizarra</t>
  </si>
  <si>
    <t>Hojas impresas para documentación</t>
  </si>
  <si>
    <t>5.000 / resma</t>
  </si>
  <si>
    <t>Cartulinas o láminas para diagramas</t>
  </si>
  <si>
    <t>Tinta / Impresiones (uso mensual)</t>
  </si>
  <si>
    <t>Alcohol gel y limpieza del área</t>
  </si>
  <si>
    <t>Cinta adhesiva / masking tape</t>
  </si>
  <si>
    <t>Carpetas o archivadores</t>
  </si>
  <si>
    <t>COSTO UNITARIO (M$ / UNIDAD)</t>
  </si>
  <si>
    <t>Registro de marca “SITECOM” en INAPI</t>
  </si>
  <si>
    <t>Registro del software en INAPI (derechos de autor)</t>
  </si>
  <si>
    <t>Asesoría legal básica para propiedad intelectual (opcional)</t>
  </si>
  <si>
    <t>Redacción de contrato de cesión o titularidad del software</t>
  </si>
  <si>
    <t>Movilización del equipo (reuniones, visitas)</t>
  </si>
  <si>
    <t>Alimentación en jornadas de trabajo extensas</t>
  </si>
  <si>
    <t>Imprevistos varios (adaptadores, cables, pérdidas, daños menores)</t>
  </si>
  <si>
    <t>Contingencia del proyecto (2% del presupuesto estimado)</t>
  </si>
  <si>
    <t>Servicios menores (fotocopias, trámites, certificados)</t>
  </si>
  <si>
    <t>Internet Hogar (uso compartido por el equipo)</t>
  </si>
  <si>
    <t>12.000 / mes</t>
  </si>
  <si>
    <t>Luz / Electricidad para equipos de trabajo</t>
  </si>
  <si>
    <t>Servicios administrativos (impresiones, trámites varios)</t>
  </si>
  <si>
    <t>Material de oficina básico (papel, carpetas, clips)</t>
  </si>
  <si>
    <t>Uso de espacios comunes (cowork / biblioteca / salas DUOC)</t>
  </si>
  <si>
    <t>Gastos de comunicación (llamadas, mensajes, coordinación)</t>
  </si>
  <si>
    <t>Agua / Café / Insumos de reuniones</t>
  </si>
  <si>
    <t>4 meses</t>
  </si>
  <si>
    <t>4 meses × 3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</si>
</sst>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8"/>
      <color theme="1"/>
      <name val="Arial"/>
    </font>
    <font>
      <sz val="10"/>
      <color theme="1"/>
      <name val="Arial"/>
    </font>
    <font>
      <sz val="6"/>
      <color theme="1"/>
      <name val="Arial"/>
    </font>
    <font>
      <b/>
      <sz val="10"/>
      <color rgb="FFFF0000"/>
      <name val="Arial"/>
    </font>
    <font>
      <b/>
      <sz val="10"/>
      <color rgb="FF000000"/>
      <name val="Arial"/>
    </font>
    <font>
      <b/>
      <sz val="10"/>
      <color rgb="FF3366FF"/>
      <name val="Arial"/>
    </font>
    <font>
      <sz val="8"/>
      <color theme="1"/>
      <name val="Arial"/>
    </font>
    <font>
      <sz val="10"/>
      <color rgb="FF000000"/>
      <name val="Arial"/>
    </font>
    <font>
      <b/>
      <sz val="8"/>
      <color rgb="FF3366FF"/>
      <name val="Arial"/>
    </font>
    <font>
      <b/>
      <sz val="12"/>
      <color theme="1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7" xfId="0" applyFont="1" applyBorder="1"/>
    <xf numFmtId="0" fontId="3" fillId="0" borderId="0" xfId="0" applyFont="1"/>
    <xf numFmtId="0" fontId="3" fillId="0" borderId="8" xfId="0" applyFont="1" applyBorder="1"/>
    <xf numFmtId="0" fontId="3" fillId="0" borderId="9" xfId="0" applyFont="1" applyBorder="1"/>
    <xf numFmtId="3" fontId="3" fillId="0" borderId="9" xfId="0" applyNumberFormat="1" applyFont="1" applyBorder="1"/>
    <xf numFmtId="9" fontId="3" fillId="0" borderId="9" xfId="0" applyNumberFormat="1" applyFont="1" applyBorder="1"/>
    <xf numFmtId="0" fontId="3" fillId="0" borderId="2" xfId="0" applyFont="1" applyBorder="1"/>
    <xf numFmtId="9" fontId="3" fillId="0" borderId="2" xfId="0" applyNumberFormat="1" applyFont="1" applyBorder="1"/>
    <xf numFmtId="0" fontId="1" fillId="0" borderId="9" xfId="0" applyFont="1" applyBorder="1"/>
    <xf numFmtId="164" fontId="3" fillId="0" borderId="9" xfId="0" applyNumberFormat="1" applyFont="1" applyBorder="1"/>
    <xf numFmtId="0" fontId="3" fillId="0" borderId="6" xfId="0" applyFont="1" applyBorder="1"/>
    <xf numFmtId="164" fontId="3" fillId="0" borderId="6" xfId="0" applyNumberFormat="1" applyFont="1" applyBorder="1"/>
    <xf numFmtId="3" fontId="3" fillId="0" borderId="6" xfId="0" applyNumberFormat="1" applyFont="1" applyBorder="1"/>
    <xf numFmtId="9" fontId="3" fillId="0" borderId="6" xfId="0" applyNumberFormat="1" applyFont="1" applyBorder="1"/>
    <xf numFmtId="0" fontId="3" fillId="0" borderId="10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1" xfId="0" applyFont="1" applyBorder="1"/>
    <xf numFmtId="0" fontId="8" fillId="0" borderId="0" xfId="0" applyFont="1"/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9" xfId="0" applyFont="1" applyBorder="1"/>
    <xf numFmtId="3" fontId="8" fillId="0" borderId="9" xfId="0" applyNumberFormat="1" applyFont="1" applyBorder="1"/>
    <xf numFmtId="0" fontId="9" fillId="0" borderId="0" xfId="0" applyFont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0" fontId="5" fillId="0" borderId="0" xfId="0" applyNumberFormat="1" applyFont="1" applyAlignment="1">
      <alignment horizontal="center"/>
    </xf>
    <xf numFmtId="9" fontId="3" fillId="0" borderId="0" xfId="0" applyNumberFormat="1" applyFont="1"/>
    <xf numFmtId="0" fontId="3" fillId="0" borderId="4" xfId="0" applyFont="1" applyBorder="1"/>
    <xf numFmtId="0" fontId="3" fillId="0" borderId="3" xfId="0" applyFont="1" applyBorder="1" applyAlignment="1">
      <alignment horizontal="right"/>
    </xf>
    <xf numFmtId="0" fontId="3" fillId="0" borderId="16" xfId="0" applyFont="1" applyBorder="1"/>
    <xf numFmtId="0" fontId="3" fillId="0" borderId="3" xfId="0" applyFont="1" applyBorder="1"/>
    <xf numFmtId="0" fontId="3" fillId="0" borderId="1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zoomScale="115" zoomScaleNormal="115" workbookViewId="0">
      <selection activeCell="G10" sqref="G10"/>
    </sheetView>
  </sheetViews>
  <sheetFormatPr baseColWidth="10" defaultColWidth="12.54296875" defaultRowHeight="15" customHeight="1" x14ac:dyDescent="0.25"/>
  <cols>
    <col min="1" max="1" width="38" customWidth="1"/>
    <col min="2" max="2" width="12.1796875" customWidth="1"/>
    <col min="3" max="3" width="18.1796875" customWidth="1"/>
    <col min="4" max="4" width="12.1796875" customWidth="1"/>
    <col min="5" max="5" width="9.1796875" customWidth="1"/>
    <col min="6" max="6" width="16.54296875" customWidth="1"/>
    <col min="7" max="7" width="8.453125" customWidth="1"/>
    <col min="8" max="8" width="16.453125" customWidth="1"/>
    <col min="9" max="26" width="10.54296875" customWidth="1"/>
  </cols>
  <sheetData>
    <row r="1" spans="1:26" ht="12" customHeight="1" x14ac:dyDescent="0.25">
      <c r="A1" s="54" t="s">
        <v>0</v>
      </c>
      <c r="B1" s="54"/>
      <c r="C1" s="54"/>
      <c r="D1" s="54"/>
      <c r="E1" s="54"/>
      <c r="F1" s="54"/>
      <c r="G1" s="54"/>
      <c r="H1" s="5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 x14ac:dyDescent="0.25">
      <c r="A2" s="54"/>
      <c r="B2" s="54"/>
      <c r="C2" s="54"/>
      <c r="D2" s="54"/>
      <c r="E2" s="54"/>
      <c r="F2" s="54"/>
      <c r="G2" s="54"/>
      <c r="H2" s="5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x14ac:dyDescent="0.25">
      <c r="A3" s="50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spans="1:26" ht="12" customHeight="1" x14ac:dyDescent="0.25">
      <c r="A4" s="4" t="s">
        <v>8</v>
      </c>
      <c r="B4" s="5" t="s">
        <v>9</v>
      </c>
      <c r="C4" s="5" t="s">
        <v>9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</row>
    <row r="5" spans="1:26" ht="12" customHeight="1" x14ac:dyDescent="0.25">
      <c r="A5" s="6"/>
      <c r="B5" s="7" t="s">
        <v>14</v>
      </c>
      <c r="C5" s="7" t="s">
        <v>14</v>
      </c>
      <c r="D5" s="7" t="s">
        <v>14</v>
      </c>
      <c r="E5" s="7" t="s">
        <v>14</v>
      </c>
      <c r="F5" s="7" t="s">
        <v>15</v>
      </c>
      <c r="G5" s="7" t="s">
        <v>16</v>
      </c>
      <c r="H5" s="7" t="s">
        <v>17</v>
      </c>
    </row>
    <row r="6" spans="1:26" ht="12" customHeight="1" x14ac:dyDescent="0.3">
      <c r="A6" s="8" t="s">
        <v>18</v>
      </c>
      <c r="B6" s="9"/>
      <c r="C6" s="9"/>
      <c r="D6" s="9"/>
      <c r="E6" s="9"/>
      <c r="F6" s="9"/>
      <c r="G6" s="9"/>
      <c r="H6" s="10"/>
    </row>
    <row r="7" spans="1:26" ht="12" customHeight="1" x14ac:dyDescent="0.25">
      <c r="A7" s="11" t="s">
        <v>45</v>
      </c>
      <c r="B7" s="12">
        <v>2000000</v>
      </c>
      <c r="C7" s="12">
        <v>100000</v>
      </c>
      <c r="D7" s="12">
        <v>2100000</v>
      </c>
      <c r="E7" s="11">
        <f t="shared" ref="E7:E17" si="0">SUM(B7:D7)</f>
        <v>4200000</v>
      </c>
      <c r="F7" s="13">
        <v>1</v>
      </c>
      <c r="G7" s="11">
        <v>4</v>
      </c>
      <c r="H7" s="11">
        <f t="shared" ref="H7:H12" si="1">+E7*F7*G7</f>
        <v>16800000</v>
      </c>
    </row>
    <row r="8" spans="1:26" ht="12" customHeight="1" x14ac:dyDescent="0.25">
      <c r="A8" s="11" t="s">
        <v>46</v>
      </c>
      <c r="B8" s="12">
        <v>1800000</v>
      </c>
      <c r="C8" s="12">
        <v>100000</v>
      </c>
      <c r="D8" s="12">
        <v>1900000</v>
      </c>
      <c r="E8" s="11">
        <f t="shared" si="0"/>
        <v>3800000</v>
      </c>
      <c r="F8" s="13">
        <v>1</v>
      </c>
      <c r="G8" s="11">
        <v>4</v>
      </c>
      <c r="H8" s="11">
        <f t="shared" si="1"/>
        <v>15200000</v>
      </c>
    </row>
    <row r="9" spans="1:26" ht="12" customHeight="1" x14ac:dyDescent="0.25">
      <c r="A9" s="11" t="s">
        <v>47</v>
      </c>
      <c r="B9" s="12">
        <v>1500000</v>
      </c>
      <c r="C9" s="12">
        <v>0</v>
      </c>
      <c r="D9" s="12">
        <v>1500000</v>
      </c>
      <c r="E9" s="11">
        <f t="shared" si="0"/>
        <v>3000000</v>
      </c>
      <c r="F9" s="13">
        <v>1</v>
      </c>
      <c r="G9" s="11">
        <v>4</v>
      </c>
      <c r="H9" s="11">
        <f t="shared" si="1"/>
        <v>12000000</v>
      </c>
    </row>
    <row r="10" spans="1:26" ht="12" customHeight="1" x14ac:dyDescent="0.25">
      <c r="A10" s="11"/>
      <c r="B10" s="11"/>
      <c r="C10" s="12"/>
      <c r="D10" s="12"/>
      <c r="E10" s="11"/>
      <c r="F10" s="13"/>
      <c r="G10" s="11"/>
      <c r="H10" s="11">
        <f t="shared" si="1"/>
        <v>0</v>
      </c>
    </row>
    <row r="11" spans="1:26" ht="12" customHeight="1" x14ac:dyDescent="0.25">
      <c r="A11" s="11"/>
      <c r="B11" s="11"/>
      <c r="C11" s="11"/>
      <c r="D11" s="11"/>
      <c r="E11" s="11">
        <f t="shared" si="0"/>
        <v>0</v>
      </c>
      <c r="F11" s="13"/>
      <c r="G11" s="11"/>
      <c r="H11" s="11">
        <f t="shared" si="1"/>
        <v>0</v>
      </c>
    </row>
    <row r="12" spans="1:26" ht="12" customHeight="1" x14ac:dyDescent="0.25">
      <c r="A12" s="14"/>
      <c r="B12" s="14"/>
      <c r="C12" s="14"/>
      <c r="D12" s="14"/>
      <c r="E12" s="11">
        <f t="shared" si="0"/>
        <v>0</v>
      </c>
      <c r="F12" s="15"/>
      <c r="G12" s="14"/>
      <c r="H12" s="14">
        <f t="shared" si="1"/>
        <v>0</v>
      </c>
    </row>
    <row r="13" spans="1:26" ht="12" customHeight="1" x14ac:dyDescent="0.3">
      <c r="A13" s="16"/>
      <c r="B13" s="11"/>
      <c r="C13" s="11"/>
      <c r="D13" s="11"/>
      <c r="E13" s="11">
        <f t="shared" si="0"/>
        <v>0</v>
      </c>
      <c r="F13" s="11"/>
      <c r="G13" s="11"/>
      <c r="H13" s="11">
        <v>0</v>
      </c>
    </row>
    <row r="14" spans="1:26" ht="12" customHeight="1" x14ac:dyDescent="0.25">
      <c r="A14" s="11"/>
      <c r="B14" s="17"/>
      <c r="C14" s="12"/>
      <c r="D14" s="11"/>
      <c r="E14" s="11">
        <f t="shared" si="0"/>
        <v>0</v>
      </c>
      <c r="F14" s="13"/>
      <c r="G14" s="11"/>
      <c r="H14" s="11">
        <v>0</v>
      </c>
    </row>
    <row r="15" spans="1:26" ht="12" customHeight="1" x14ac:dyDescent="0.25">
      <c r="A15" s="11"/>
      <c r="B15" s="17"/>
      <c r="C15" s="12"/>
      <c r="D15" s="11"/>
      <c r="E15" s="11">
        <f t="shared" si="0"/>
        <v>0</v>
      </c>
      <c r="F15" s="13"/>
      <c r="G15" s="11"/>
      <c r="H15" s="11">
        <v>0</v>
      </c>
    </row>
    <row r="16" spans="1:26" ht="12" customHeight="1" x14ac:dyDescent="0.25">
      <c r="A16" s="18"/>
      <c r="B16" s="19"/>
      <c r="C16" s="20"/>
      <c r="D16" s="18"/>
      <c r="E16" s="11">
        <f t="shared" si="0"/>
        <v>0</v>
      </c>
      <c r="F16" s="21"/>
      <c r="G16" s="18"/>
      <c r="H16" s="18">
        <f t="shared" ref="H16:H17" si="2">+E16*F16*G16</f>
        <v>0</v>
      </c>
    </row>
    <row r="17" spans="1:8" ht="12" customHeight="1" x14ac:dyDescent="0.25">
      <c r="A17" s="11"/>
      <c r="B17" s="11"/>
      <c r="C17" s="11"/>
      <c r="D17" s="11"/>
      <c r="E17" s="11">
        <f t="shared" si="0"/>
        <v>0</v>
      </c>
      <c r="F17" s="13"/>
      <c r="G17" s="11"/>
      <c r="H17" s="11">
        <f t="shared" si="2"/>
        <v>0</v>
      </c>
    </row>
    <row r="18" spans="1:8" ht="12" customHeight="1" x14ac:dyDescent="0.3">
      <c r="A18" s="8" t="s">
        <v>19</v>
      </c>
      <c r="B18" s="9"/>
      <c r="C18" s="9"/>
      <c r="D18" s="9"/>
      <c r="E18" s="11" t="s">
        <v>4</v>
      </c>
      <c r="F18" s="13"/>
      <c r="G18" s="9"/>
      <c r="H18" s="11" t="s">
        <v>4</v>
      </c>
    </row>
    <row r="19" spans="1:8" ht="12" customHeight="1" x14ac:dyDescent="0.25">
      <c r="A19" s="11"/>
      <c r="B19" s="11"/>
      <c r="C19" s="12"/>
      <c r="D19" s="12"/>
      <c r="E19" s="11">
        <v>0</v>
      </c>
      <c r="F19" s="13"/>
      <c r="G19" s="11"/>
      <c r="H19" s="11">
        <f t="shared" ref="H19:H24" si="3">+E19*F19*G19</f>
        <v>0</v>
      </c>
    </row>
    <row r="20" spans="1:8" ht="12" customHeight="1" x14ac:dyDescent="0.25">
      <c r="A20" s="11"/>
      <c r="B20" s="11"/>
      <c r="C20" s="11"/>
      <c r="D20" s="11"/>
      <c r="E20" s="11">
        <f t="shared" ref="E20:E24" si="4">SUM(B20:D20)</f>
        <v>0</v>
      </c>
      <c r="F20" s="13"/>
      <c r="G20" s="11"/>
      <c r="H20" s="11">
        <f t="shared" si="3"/>
        <v>0</v>
      </c>
    </row>
    <row r="21" spans="1:8" ht="12" customHeight="1" x14ac:dyDescent="0.25">
      <c r="A21" s="11"/>
      <c r="B21" s="11"/>
      <c r="C21" s="11"/>
      <c r="D21" s="11"/>
      <c r="E21" s="11">
        <f t="shared" si="4"/>
        <v>0</v>
      </c>
      <c r="F21" s="13"/>
      <c r="G21" s="11"/>
      <c r="H21" s="11">
        <f t="shared" si="3"/>
        <v>0</v>
      </c>
    </row>
    <row r="22" spans="1:8" ht="12" customHeight="1" x14ac:dyDescent="0.25">
      <c r="A22" s="11"/>
      <c r="B22" s="11"/>
      <c r="C22" s="11"/>
      <c r="D22" s="11"/>
      <c r="E22" s="11">
        <f t="shared" si="4"/>
        <v>0</v>
      </c>
      <c r="F22" s="13"/>
      <c r="G22" s="11"/>
      <c r="H22" s="11">
        <f t="shared" si="3"/>
        <v>0</v>
      </c>
    </row>
    <row r="23" spans="1:8" ht="12" customHeight="1" x14ac:dyDescent="0.25">
      <c r="A23" s="11"/>
      <c r="B23" s="11"/>
      <c r="C23" s="11"/>
      <c r="D23" s="11"/>
      <c r="E23" s="11">
        <f t="shared" si="4"/>
        <v>0</v>
      </c>
      <c r="F23" s="13"/>
      <c r="G23" s="11"/>
      <c r="H23" s="11">
        <f t="shared" si="3"/>
        <v>0</v>
      </c>
    </row>
    <row r="24" spans="1:8" ht="12" customHeight="1" x14ac:dyDescent="0.25">
      <c r="A24" s="11"/>
      <c r="B24" s="11"/>
      <c r="C24" s="11"/>
      <c r="D24" s="11"/>
      <c r="E24" s="11">
        <f t="shared" si="4"/>
        <v>0</v>
      </c>
      <c r="F24" s="13"/>
      <c r="G24" s="11"/>
      <c r="H24" s="11">
        <f t="shared" si="3"/>
        <v>0</v>
      </c>
    </row>
    <row r="25" spans="1:8" ht="12" customHeight="1" x14ac:dyDescent="0.3">
      <c r="A25" s="8" t="s">
        <v>10</v>
      </c>
      <c r="B25" s="22"/>
      <c r="C25" s="22"/>
      <c r="D25" s="22"/>
      <c r="E25" s="22"/>
      <c r="F25" s="22"/>
      <c r="G25" s="22"/>
      <c r="H25" s="16">
        <f>SUM(H6:H24)</f>
        <v>44000000</v>
      </c>
    </row>
    <row r="26" spans="1:8" ht="12" customHeight="1" x14ac:dyDescent="0.3">
      <c r="A26" s="23"/>
    </row>
    <row r="27" spans="1:8" ht="12" customHeight="1" x14ac:dyDescent="0.3">
      <c r="A27" s="24"/>
    </row>
    <row r="28" spans="1:8" ht="12" customHeight="1" x14ac:dyDescent="0.3">
      <c r="A28" s="24"/>
    </row>
    <row r="29" spans="1:8" ht="12" customHeight="1" x14ac:dyDescent="0.3">
      <c r="A29" s="24"/>
    </row>
    <row r="30" spans="1:8" ht="12" customHeight="1" x14ac:dyDescent="0.3">
      <c r="A30" s="24"/>
    </row>
    <row r="31" spans="1:8" ht="12" customHeight="1" x14ac:dyDescent="0.3">
      <c r="A31" s="24"/>
    </row>
    <row r="32" spans="1:8" ht="12" customHeight="1" x14ac:dyDescent="0.3">
      <c r="A32" s="1"/>
    </row>
    <row r="33" spans="1:1" ht="12" customHeight="1" x14ac:dyDescent="0.3">
      <c r="A33" s="25" t="s">
        <v>4</v>
      </c>
    </row>
    <row r="34" spans="1:1" ht="12" customHeight="1" x14ac:dyDescent="0.3">
      <c r="A34" s="25" t="s">
        <v>4</v>
      </c>
    </row>
    <row r="35" spans="1:1" ht="12" customHeight="1" x14ac:dyDescent="0.25"/>
    <row r="36" spans="1:1" ht="12" customHeight="1" x14ac:dyDescent="0.25"/>
    <row r="37" spans="1:1" ht="12" customHeight="1" x14ac:dyDescent="0.25"/>
    <row r="38" spans="1:1" ht="12" customHeight="1" x14ac:dyDescent="0.25"/>
    <row r="39" spans="1:1" ht="12" customHeight="1" x14ac:dyDescent="0.25"/>
    <row r="40" spans="1:1" ht="12" customHeight="1" x14ac:dyDescent="0.25"/>
    <row r="41" spans="1:1" ht="12" customHeight="1" x14ac:dyDescent="0.25"/>
    <row r="42" spans="1:1" ht="12" customHeight="1" x14ac:dyDescent="0.25"/>
    <row r="43" spans="1:1" ht="12" customHeight="1" x14ac:dyDescent="0.25"/>
    <row r="44" spans="1:1" ht="12" customHeight="1" x14ac:dyDescent="0.25"/>
    <row r="45" spans="1:1" ht="12" customHeight="1" x14ac:dyDescent="0.25"/>
    <row r="46" spans="1:1" ht="12" customHeight="1" x14ac:dyDescent="0.25"/>
    <row r="47" spans="1:1" ht="12" customHeight="1" x14ac:dyDescent="0.25"/>
    <row r="48" spans="1:1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1">
    <mergeCell ref="A1:H2"/>
  </mergeCells>
  <phoneticPr fontId="12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showGridLines="0" zoomScaleNormal="100" workbookViewId="0">
      <selection activeCell="C24" sqref="C24"/>
    </sheetView>
  </sheetViews>
  <sheetFormatPr baseColWidth="10" defaultColWidth="12.54296875" defaultRowHeight="15" customHeight="1" x14ac:dyDescent="0.25"/>
  <cols>
    <col min="1" max="1" width="29.26953125" customWidth="1"/>
    <col min="2" max="2" width="41.54296875" customWidth="1"/>
    <col min="3" max="3" width="16.81640625" customWidth="1"/>
    <col min="4" max="4" width="20.1796875" customWidth="1"/>
    <col min="5" max="5" width="9" customWidth="1"/>
    <col min="6" max="6" width="11" customWidth="1"/>
    <col min="7" max="26" width="10.54296875" customWidth="1"/>
  </cols>
  <sheetData>
    <row r="1" spans="1:26" ht="12" customHeight="1" x14ac:dyDescent="0.25">
      <c r="A1" s="55" t="s">
        <v>20</v>
      </c>
      <c r="B1" s="55"/>
      <c r="C1" s="55"/>
      <c r="D1" s="55"/>
      <c r="E1" s="55"/>
      <c r="F1" s="55"/>
    </row>
    <row r="2" spans="1:26" ht="12" customHeight="1" x14ac:dyDescent="0.25">
      <c r="A2" s="56"/>
      <c r="B2" s="56"/>
      <c r="C2" s="56"/>
      <c r="D2" s="56"/>
      <c r="E2" s="56"/>
      <c r="F2" s="56"/>
    </row>
    <row r="3" spans="1:26" ht="12" customHeight="1" x14ac:dyDescent="0.25">
      <c r="A3" s="14" t="s">
        <v>4</v>
      </c>
      <c r="B3" s="26" t="s">
        <v>4</v>
      </c>
      <c r="C3" s="27" t="s">
        <v>21</v>
      </c>
      <c r="D3" s="28" t="s">
        <v>22</v>
      </c>
      <c r="E3" s="26" t="s">
        <v>23</v>
      </c>
      <c r="F3" s="26" t="s">
        <v>21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2" customHeight="1" x14ac:dyDescent="0.25">
      <c r="A4" s="30" t="s">
        <v>24</v>
      </c>
      <c r="B4" s="31" t="s">
        <v>25</v>
      </c>
      <c r="C4" s="3" t="s">
        <v>26</v>
      </c>
      <c r="D4" s="3" t="s">
        <v>27</v>
      </c>
      <c r="E4" s="31" t="s">
        <v>28</v>
      </c>
      <c r="F4" s="31" t="s">
        <v>7</v>
      </c>
    </row>
    <row r="5" spans="1:26" ht="12" customHeight="1" x14ac:dyDescent="0.25">
      <c r="A5" s="18"/>
      <c r="B5" s="18"/>
      <c r="C5" s="7" t="s">
        <v>29</v>
      </c>
      <c r="D5" s="7" t="s">
        <v>30</v>
      </c>
      <c r="E5" s="32" t="s">
        <v>31</v>
      </c>
      <c r="F5" s="32" t="s">
        <v>17</v>
      </c>
    </row>
    <row r="6" spans="1:26" ht="12" customHeight="1" x14ac:dyDescent="0.25">
      <c r="A6" s="33" t="s">
        <v>49</v>
      </c>
      <c r="B6" s="34" t="s">
        <v>50</v>
      </c>
      <c r="C6" s="34">
        <v>900000</v>
      </c>
      <c r="D6" s="33">
        <v>0</v>
      </c>
      <c r="E6" s="33" t="s">
        <v>51</v>
      </c>
      <c r="F6" s="34">
        <v>2700000</v>
      </c>
    </row>
    <row r="7" spans="1:26" ht="12" customHeight="1" x14ac:dyDescent="0.25">
      <c r="A7" s="33" t="s">
        <v>52</v>
      </c>
      <c r="B7" s="34" t="s">
        <v>53</v>
      </c>
      <c r="C7" s="34">
        <v>0</v>
      </c>
      <c r="D7" s="33" t="s">
        <v>54</v>
      </c>
      <c r="E7" s="33" t="s">
        <v>130</v>
      </c>
      <c r="F7" s="34">
        <v>175000</v>
      </c>
    </row>
    <row r="8" spans="1:26" ht="12" customHeight="1" x14ac:dyDescent="0.25">
      <c r="A8" s="33" t="s">
        <v>56</v>
      </c>
      <c r="B8" s="34" t="s">
        <v>57</v>
      </c>
      <c r="C8" s="34">
        <v>12000</v>
      </c>
      <c r="D8" s="33">
        <v>0</v>
      </c>
      <c r="E8" s="33" t="s">
        <v>58</v>
      </c>
      <c r="F8" s="34">
        <v>12000</v>
      </c>
    </row>
    <row r="9" spans="1:26" ht="12" customHeight="1" x14ac:dyDescent="0.25">
      <c r="A9" s="33" t="s">
        <v>59</v>
      </c>
      <c r="B9" s="34" t="s">
        <v>60</v>
      </c>
      <c r="C9" s="34">
        <v>0</v>
      </c>
      <c r="D9" s="33">
        <v>0</v>
      </c>
      <c r="E9" s="33" t="s">
        <v>58</v>
      </c>
      <c r="F9" s="33">
        <v>0</v>
      </c>
    </row>
    <row r="10" spans="1:26" ht="12" customHeight="1" x14ac:dyDescent="0.25">
      <c r="A10" s="33" t="s">
        <v>61</v>
      </c>
      <c r="B10" s="34" t="s">
        <v>62</v>
      </c>
      <c r="C10" s="34">
        <v>0</v>
      </c>
      <c r="D10" s="33" t="s">
        <v>63</v>
      </c>
      <c r="E10" s="33" t="s">
        <v>130</v>
      </c>
      <c r="F10" s="34">
        <v>25000</v>
      </c>
    </row>
    <row r="11" spans="1:26" ht="12" customHeight="1" x14ac:dyDescent="0.25">
      <c r="A11" s="33" t="s">
        <v>64</v>
      </c>
      <c r="B11" s="34" t="s">
        <v>65</v>
      </c>
      <c r="C11" s="34">
        <v>0</v>
      </c>
      <c r="D11" s="33" t="s">
        <v>66</v>
      </c>
      <c r="E11" s="33" t="s">
        <v>131</v>
      </c>
      <c r="F11" s="34">
        <v>450000</v>
      </c>
    </row>
    <row r="12" spans="1:26" ht="12" customHeight="1" x14ac:dyDescent="0.25">
      <c r="A12" s="33" t="s">
        <v>67</v>
      </c>
      <c r="B12" s="34" t="s">
        <v>68</v>
      </c>
      <c r="C12" s="34">
        <v>25000</v>
      </c>
      <c r="D12" s="33">
        <v>0</v>
      </c>
      <c r="E12" s="33" t="s">
        <v>51</v>
      </c>
      <c r="F12" s="34">
        <v>75000</v>
      </c>
    </row>
    <row r="13" spans="1:26" ht="12" customHeight="1" x14ac:dyDescent="0.25">
      <c r="A13" s="33" t="s">
        <v>69</v>
      </c>
      <c r="B13" s="34" t="s">
        <v>70</v>
      </c>
      <c r="C13" s="34">
        <v>120000</v>
      </c>
      <c r="D13">
        <v>0</v>
      </c>
      <c r="E13" s="33" t="s">
        <v>71</v>
      </c>
      <c r="F13" s="34">
        <v>240000</v>
      </c>
    </row>
    <row r="14" spans="1:26" ht="12" customHeight="1" x14ac:dyDescent="0.25">
      <c r="A14" s="33"/>
      <c r="B14" s="34"/>
      <c r="C14" s="34"/>
      <c r="D14" s="33"/>
      <c r="E14" s="33"/>
      <c r="F14" s="33">
        <f t="shared" ref="F14:F24" si="0">(+C14+D14)*E14</f>
        <v>0</v>
      </c>
    </row>
    <row r="15" spans="1:26" ht="12" customHeight="1" x14ac:dyDescent="0.25">
      <c r="A15" s="33"/>
      <c r="B15" s="34"/>
      <c r="C15" s="34"/>
      <c r="D15" s="33"/>
      <c r="E15" s="33"/>
      <c r="F15" s="33">
        <f t="shared" si="0"/>
        <v>0</v>
      </c>
    </row>
    <row r="16" spans="1:26" ht="12" customHeight="1" x14ac:dyDescent="0.25">
      <c r="A16" s="33"/>
      <c r="B16" s="34"/>
      <c r="C16" s="34"/>
      <c r="D16" s="33"/>
      <c r="E16" s="33"/>
      <c r="F16" s="33">
        <f t="shared" si="0"/>
        <v>0</v>
      </c>
    </row>
    <row r="17" spans="1:6" ht="12" customHeight="1" x14ac:dyDescent="0.25">
      <c r="A17" s="33"/>
      <c r="B17" s="34"/>
      <c r="C17" s="34"/>
      <c r="D17" s="33"/>
      <c r="E17" s="33"/>
      <c r="F17" s="33">
        <f t="shared" si="0"/>
        <v>0</v>
      </c>
    </row>
    <row r="18" spans="1:6" ht="12" customHeight="1" x14ac:dyDescent="0.25">
      <c r="A18" s="33"/>
      <c r="B18" s="34"/>
      <c r="C18" s="34"/>
      <c r="D18" s="33"/>
      <c r="E18" s="33"/>
      <c r="F18" s="33">
        <f t="shared" si="0"/>
        <v>0</v>
      </c>
    </row>
    <row r="19" spans="1:6" ht="12" customHeight="1" x14ac:dyDescent="0.25">
      <c r="A19" s="33"/>
      <c r="B19" s="34"/>
      <c r="C19" s="34"/>
      <c r="D19" s="33"/>
      <c r="E19" s="33"/>
      <c r="F19" s="33">
        <f t="shared" si="0"/>
        <v>0</v>
      </c>
    </row>
    <row r="20" spans="1:6" ht="12" customHeight="1" x14ac:dyDescent="0.25">
      <c r="A20" s="33"/>
      <c r="B20" s="34"/>
      <c r="C20" s="34"/>
      <c r="D20" s="33"/>
      <c r="E20" s="33"/>
      <c r="F20" s="33">
        <f t="shared" si="0"/>
        <v>0</v>
      </c>
    </row>
    <row r="21" spans="1:6" ht="12" customHeight="1" x14ac:dyDescent="0.25">
      <c r="A21" s="33"/>
      <c r="B21" s="33"/>
      <c r="C21" s="33"/>
      <c r="D21" s="33"/>
      <c r="E21" s="33"/>
      <c r="F21" s="33">
        <f t="shared" si="0"/>
        <v>0</v>
      </c>
    </row>
    <row r="22" spans="1:6" ht="12" customHeight="1" x14ac:dyDescent="0.25">
      <c r="A22" s="33"/>
      <c r="B22" s="33"/>
      <c r="C22" s="33"/>
      <c r="D22" s="33"/>
      <c r="E22" s="33"/>
      <c r="F22" s="33">
        <f t="shared" si="0"/>
        <v>0</v>
      </c>
    </row>
    <row r="23" spans="1:6" ht="12" customHeight="1" x14ac:dyDescent="0.25">
      <c r="A23" s="33"/>
      <c r="B23" s="33"/>
      <c r="C23" s="33"/>
      <c r="D23" s="33"/>
      <c r="E23" s="33"/>
      <c r="F23" s="33">
        <f t="shared" si="0"/>
        <v>0</v>
      </c>
    </row>
    <row r="24" spans="1:6" ht="12" customHeight="1" x14ac:dyDescent="0.25">
      <c r="A24" s="33"/>
      <c r="B24" s="33"/>
      <c r="C24" s="33"/>
      <c r="D24" s="33"/>
      <c r="E24" s="33"/>
      <c r="F24" s="33">
        <f t="shared" si="0"/>
        <v>0</v>
      </c>
    </row>
    <row r="25" spans="1:6" ht="12" customHeight="1" x14ac:dyDescent="0.3">
      <c r="A25" s="8" t="s">
        <v>10</v>
      </c>
      <c r="B25" s="22"/>
      <c r="C25" s="22"/>
      <c r="D25" s="22"/>
      <c r="E25" s="22"/>
      <c r="F25" s="16">
        <f>SUM(F6:F24)</f>
        <v>3677000</v>
      </c>
    </row>
    <row r="26" spans="1:6" ht="12" customHeight="1" x14ac:dyDescent="0.25">
      <c r="B26" s="29"/>
      <c r="C26" s="29"/>
      <c r="D26" s="29"/>
      <c r="E26" s="29"/>
      <c r="F26" s="2"/>
    </row>
    <row r="27" spans="1:6" ht="12" customHeight="1" x14ac:dyDescent="0.3">
      <c r="A27" s="25"/>
    </row>
    <row r="28" spans="1:6" ht="12" customHeight="1" x14ac:dyDescent="0.3">
      <c r="A28" s="25"/>
    </row>
    <row r="29" spans="1:6" ht="12" customHeight="1" x14ac:dyDescent="0.25">
      <c r="A29" s="54" t="s">
        <v>32</v>
      </c>
      <c r="B29" s="54"/>
      <c r="C29" s="54"/>
      <c r="D29" s="54"/>
      <c r="E29" s="54"/>
      <c r="F29" s="54"/>
    </row>
    <row r="30" spans="1:6" ht="12" customHeight="1" x14ac:dyDescent="0.25">
      <c r="A30" s="54"/>
      <c r="B30" s="54"/>
      <c r="C30" s="54"/>
      <c r="D30" s="54"/>
      <c r="E30" s="54"/>
      <c r="F30" s="54"/>
    </row>
    <row r="31" spans="1:6" ht="12" customHeight="1" x14ac:dyDescent="0.25">
      <c r="A31" s="47" t="s">
        <v>4</v>
      </c>
      <c r="B31" s="31" t="s">
        <v>4</v>
      </c>
      <c r="C31" s="48" t="s">
        <v>21</v>
      </c>
      <c r="D31" s="49" t="s">
        <v>22</v>
      </c>
      <c r="E31" s="31" t="s">
        <v>23</v>
      </c>
      <c r="F31" s="31" t="s">
        <v>21</v>
      </c>
    </row>
    <row r="32" spans="1:6" ht="12" customHeight="1" x14ac:dyDescent="0.25">
      <c r="A32" s="30" t="s">
        <v>33</v>
      </c>
      <c r="B32" s="31" t="s">
        <v>25</v>
      </c>
      <c r="C32" s="3" t="s">
        <v>26</v>
      </c>
      <c r="D32" s="3" t="s">
        <v>27</v>
      </c>
      <c r="E32" s="31" t="s">
        <v>28</v>
      </c>
      <c r="F32" s="31" t="s">
        <v>7</v>
      </c>
    </row>
    <row r="33" spans="1:6" ht="12" customHeight="1" x14ac:dyDescent="0.25">
      <c r="A33" s="18"/>
      <c r="B33" s="18"/>
      <c r="C33" s="7" t="s">
        <v>34</v>
      </c>
      <c r="D33" s="7" t="s">
        <v>30</v>
      </c>
      <c r="E33" s="32" t="s">
        <v>31</v>
      </c>
      <c r="F33" s="32" t="s">
        <v>17</v>
      </c>
    </row>
    <row r="34" spans="1:6" ht="12" customHeight="1" x14ac:dyDescent="0.25">
      <c r="A34" s="33" t="s">
        <v>72</v>
      </c>
      <c r="B34" s="33" t="s">
        <v>73</v>
      </c>
      <c r="C34" s="33">
        <v>0</v>
      </c>
      <c r="D34" s="33" t="s">
        <v>74</v>
      </c>
      <c r="E34" s="33" t="s">
        <v>55</v>
      </c>
      <c r="F34" s="34">
        <v>600000</v>
      </c>
    </row>
    <row r="35" spans="1:6" ht="12" customHeight="1" x14ac:dyDescent="0.25">
      <c r="A35" s="33" t="s">
        <v>75</v>
      </c>
      <c r="B35" s="33" t="s">
        <v>76</v>
      </c>
      <c r="C35" s="33">
        <v>0</v>
      </c>
      <c r="D35" s="33" t="s">
        <v>77</v>
      </c>
      <c r="E35" s="33" t="s">
        <v>55</v>
      </c>
      <c r="F35" s="34">
        <v>50000</v>
      </c>
    </row>
    <row r="36" spans="1:6" ht="12" customHeight="1" x14ac:dyDescent="0.25">
      <c r="A36" s="33" t="s">
        <v>78</v>
      </c>
      <c r="B36" s="33" t="s">
        <v>79</v>
      </c>
      <c r="C36" s="33">
        <v>0</v>
      </c>
      <c r="D36" s="33" t="s">
        <v>80</v>
      </c>
      <c r="E36" s="33" t="s">
        <v>55</v>
      </c>
      <c r="F36" s="34">
        <v>125000</v>
      </c>
    </row>
    <row r="37" spans="1:6" ht="12" customHeight="1" x14ac:dyDescent="0.25">
      <c r="A37" s="33" t="s">
        <v>81</v>
      </c>
      <c r="B37" s="33" t="s">
        <v>82</v>
      </c>
      <c r="C37" s="33">
        <v>0</v>
      </c>
      <c r="D37" s="33" t="s">
        <v>83</v>
      </c>
      <c r="E37" s="33" t="s">
        <v>55</v>
      </c>
      <c r="F37" s="34">
        <v>100000</v>
      </c>
    </row>
    <row r="38" spans="1:6" ht="12" customHeight="1" x14ac:dyDescent="0.25">
      <c r="A38" s="33" t="s">
        <v>84</v>
      </c>
      <c r="B38" s="33" t="s">
        <v>85</v>
      </c>
      <c r="C38" s="34">
        <v>150000</v>
      </c>
      <c r="D38" s="33">
        <v>0</v>
      </c>
      <c r="E38" s="33" t="s">
        <v>51</v>
      </c>
      <c r="F38" s="34">
        <v>450000</v>
      </c>
    </row>
    <row r="39" spans="1:6" ht="12" customHeight="1" x14ac:dyDescent="0.25">
      <c r="A39" s="33" t="s">
        <v>86</v>
      </c>
      <c r="B39" s="33" t="s">
        <v>87</v>
      </c>
      <c r="C39" s="33">
        <v>0</v>
      </c>
      <c r="D39" s="33" t="s">
        <v>88</v>
      </c>
      <c r="E39" s="33" t="s">
        <v>55</v>
      </c>
      <c r="F39" s="34">
        <v>75000</v>
      </c>
    </row>
    <row r="40" spans="1:6" ht="12" customHeight="1" x14ac:dyDescent="0.25">
      <c r="A40" s="33" t="s">
        <v>89</v>
      </c>
      <c r="B40" s="33" t="s">
        <v>90</v>
      </c>
      <c r="C40" s="33">
        <v>0</v>
      </c>
      <c r="D40" s="33" t="s">
        <v>77</v>
      </c>
      <c r="E40" s="33" t="s">
        <v>55</v>
      </c>
      <c r="F40" s="34">
        <v>50000</v>
      </c>
    </row>
    <row r="41" spans="1:6" ht="12" customHeight="1" x14ac:dyDescent="0.25">
      <c r="A41" s="33"/>
      <c r="B41" s="33"/>
      <c r="C41" s="33"/>
      <c r="D41" s="33"/>
      <c r="E41" s="33"/>
      <c r="F41" s="33">
        <f t="shared" ref="F41:F42" si="1">(+C41+D41)*E41</f>
        <v>0</v>
      </c>
    </row>
    <row r="42" spans="1:6" ht="12" customHeight="1" x14ac:dyDescent="0.25">
      <c r="A42" s="33"/>
      <c r="B42" s="33"/>
      <c r="C42" s="33"/>
      <c r="D42" s="33"/>
      <c r="E42" s="33"/>
      <c r="F42" s="33">
        <f t="shared" si="1"/>
        <v>0</v>
      </c>
    </row>
    <row r="43" spans="1:6" ht="12" customHeight="1" x14ac:dyDescent="0.3">
      <c r="A43" s="8" t="s">
        <v>10</v>
      </c>
      <c r="B43" s="22"/>
      <c r="C43" s="22"/>
      <c r="D43" s="22"/>
      <c r="E43" s="22"/>
      <c r="F43" s="16">
        <f>SUM(F34:F42)</f>
        <v>1450000</v>
      </c>
    </row>
    <row r="44" spans="1:6" ht="12" customHeight="1" x14ac:dyDescent="0.25"/>
    <row r="45" spans="1:6" ht="12" customHeight="1" x14ac:dyDescent="0.25"/>
    <row r="46" spans="1:6" ht="12" customHeight="1" x14ac:dyDescent="0.25"/>
    <row r="47" spans="1:6" ht="12" customHeight="1" x14ac:dyDescent="0.25"/>
    <row r="48" spans="1:6" ht="12" customHeight="1" x14ac:dyDescent="0.25"/>
    <row r="49" spans="1:1" ht="15.75" customHeight="1" x14ac:dyDescent="0.25">
      <c r="A49" s="35"/>
    </row>
    <row r="50" spans="1:1" ht="12" customHeight="1" x14ac:dyDescent="0.3">
      <c r="A50" s="1"/>
    </row>
    <row r="51" spans="1:1" ht="12" customHeight="1" x14ac:dyDescent="0.25"/>
    <row r="52" spans="1:1" ht="12" customHeight="1" x14ac:dyDescent="0.25"/>
    <row r="53" spans="1:1" ht="12" customHeight="1" x14ac:dyDescent="0.25"/>
    <row r="54" spans="1:1" ht="12" customHeight="1" x14ac:dyDescent="0.25"/>
    <row r="55" spans="1:1" ht="12" customHeight="1" x14ac:dyDescent="0.25"/>
    <row r="56" spans="1:1" ht="12" customHeight="1" x14ac:dyDescent="0.25"/>
    <row r="57" spans="1:1" ht="12" customHeight="1" x14ac:dyDescent="0.25"/>
    <row r="58" spans="1:1" ht="12" customHeight="1" x14ac:dyDescent="0.25"/>
    <row r="59" spans="1:1" ht="12" customHeight="1" x14ac:dyDescent="0.25"/>
    <row r="60" spans="1:1" ht="12" customHeight="1" x14ac:dyDescent="0.25"/>
    <row r="61" spans="1:1" ht="12" customHeight="1" x14ac:dyDescent="0.25"/>
    <row r="62" spans="1:1" ht="12" customHeight="1" x14ac:dyDescent="0.25"/>
    <row r="63" spans="1:1" ht="12" customHeight="1" x14ac:dyDescent="0.25"/>
    <row r="64" spans="1:1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</sheetData>
  <mergeCells count="2">
    <mergeCell ref="A29:F30"/>
    <mergeCell ref="A1:F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7"/>
  <sheetViews>
    <sheetView showGridLines="0" zoomScale="115" zoomScaleNormal="115" workbookViewId="0">
      <selection activeCell="A13" sqref="A13:XFD13"/>
    </sheetView>
  </sheetViews>
  <sheetFormatPr baseColWidth="10" defaultColWidth="12.54296875" defaultRowHeight="15" customHeight="1" x14ac:dyDescent="0.25"/>
  <cols>
    <col min="1" max="1" width="60.453125" customWidth="1"/>
    <col min="2" max="3" width="10.54296875" customWidth="1"/>
    <col min="4" max="4" width="16.54296875" customWidth="1"/>
    <col min="5" max="26" width="10.54296875" customWidth="1"/>
  </cols>
  <sheetData>
    <row r="1" spans="1:26" ht="12" customHeight="1" x14ac:dyDescent="0.3">
      <c r="A1" s="1" t="s">
        <v>35</v>
      </c>
    </row>
    <row r="2" spans="1:26" ht="12" customHeight="1" x14ac:dyDescent="0.25"/>
    <row r="3" spans="1:26" ht="12" customHeight="1" x14ac:dyDescent="0.25">
      <c r="A3" s="36" t="s">
        <v>4</v>
      </c>
      <c r="B3" s="36" t="s">
        <v>21</v>
      </c>
      <c r="C3" s="36" t="s">
        <v>4</v>
      </c>
      <c r="D3" s="36" t="s">
        <v>21</v>
      </c>
    </row>
    <row r="4" spans="1:26" ht="12" customHeight="1" x14ac:dyDescent="0.25">
      <c r="A4" s="37" t="s">
        <v>25</v>
      </c>
      <c r="B4" s="37" t="s">
        <v>22</v>
      </c>
      <c r="C4" s="37" t="s">
        <v>23</v>
      </c>
      <c r="D4" s="37" t="s">
        <v>7</v>
      </c>
    </row>
    <row r="5" spans="1:26" ht="12" customHeight="1" x14ac:dyDescent="0.25">
      <c r="A5" s="18"/>
      <c r="B5" s="38" t="s">
        <v>29</v>
      </c>
      <c r="C5" s="38"/>
      <c r="D5" s="38" t="s">
        <v>17</v>
      </c>
    </row>
    <row r="6" spans="1:26" ht="12" customHeight="1" x14ac:dyDescent="0.25">
      <c r="A6" s="33" t="s">
        <v>91</v>
      </c>
      <c r="B6" s="33" t="s">
        <v>63</v>
      </c>
      <c r="C6" s="33">
        <v>4</v>
      </c>
      <c r="D6" s="34">
        <v>25000</v>
      </c>
    </row>
    <row r="7" spans="1:26" ht="12" customHeight="1" x14ac:dyDescent="0.25">
      <c r="A7" s="33" t="s">
        <v>92</v>
      </c>
      <c r="B7" s="33" t="s">
        <v>54</v>
      </c>
      <c r="C7" s="33">
        <v>4</v>
      </c>
      <c r="D7" s="34">
        <v>175000</v>
      </c>
    </row>
    <row r="8" spans="1:26" ht="12" customHeight="1" x14ac:dyDescent="0.25">
      <c r="A8" s="33" t="s">
        <v>93</v>
      </c>
      <c r="B8" s="33" t="s">
        <v>94</v>
      </c>
      <c r="C8" s="33">
        <v>1</v>
      </c>
      <c r="D8" s="34">
        <v>12000</v>
      </c>
    </row>
    <row r="9" spans="1:26" ht="12" customHeight="1" x14ac:dyDescent="0.25">
      <c r="A9" s="33" t="s">
        <v>95</v>
      </c>
      <c r="B9" s="33">
        <v>0</v>
      </c>
      <c r="C9" s="33">
        <v>1</v>
      </c>
      <c r="D9" s="33">
        <v>0</v>
      </c>
    </row>
    <row r="10" spans="1:26" ht="12" customHeight="1" x14ac:dyDescent="0.25">
      <c r="A10" s="33" t="s">
        <v>96</v>
      </c>
      <c r="B10" s="33" t="s">
        <v>97</v>
      </c>
      <c r="C10" s="33">
        <v>1</v>
      </c>
      <c r="D10" s="33">
        <v>0</v>
      </c>
    </row>
    <row r="11" spans="1:26" ht="12" customHeight="1" x14ac:dyDescent="0.25">
      <c r="A11" s="33" t="s">
        <v>98</v>
      </c>
      <c r="B11" s="33">
        <v>0</v>
      </c>
      <c r="C11" s="33">
        <v>1</v>
      </c>
      <c r="D11" s="33">
        <v>0</v>
      </c>
    </row>
    <row r="12" spans="1:26" ht="12" customHeight="1" x14ac:dyDescent="0.25">
      <c r="A12" s="33" t="s">
        <v>99</v>
      </c>
      <c r="B12" s="33">
        <v>0</v>
      </c>
      <c r="C12" s="33">
        <v>1</v>
      </c>
      <c r="D12" s="33">
        <v>0</v>
      </c>
    </row>
    <row r="13" spans="1:26" ht="12" customHeight="1" x14ac:dyDescent="0.25">
      <c r="A13" s="33" t="s">
        <v>100</v>
      </c>
      <c r="B13" s="33">
        <v>0</v>
      </c>
      <c r="C13" s="33">
        <v>4</v>
      </c>
      <c r="D13" s="33">
        <v>0</v>
      </c>
    </row>
    <row r="14" spans="1:26" ht="12" customHeight="1" x14ac:dyDescent="0.3">
      <c r="A14" s="8" t="s">
        <v>10</v>
      </c>
      <c r="B14" s="22"/>
      <c r="C14" s="10"/>
      <c r="D14" s="16">
        <f>SUM(D6:D10)</f>
        <v>212000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" customHeight="1" x14ac:dyDescent="0.3">
      <c r="A15" s="1"/>
      <c r="B15" s="9"/>
      <c r="C15" s="9"/>
      <c r="D15" s="1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" customHeight="1" x14ac:dyDescent="0.3">
      <c r="B16" s="9"/>
      <c r="C16" s="9"/>
      <c r="D16" s="1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2" customHeight="1" x14ac:dyDescent="0.3">
      <c r="B17" s="9"/>
      <c r="C17" s="9"/>
      <c r="D17" s="1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" customHeight="1" x14ac:dyDescent="0.3">
      <c r="A18" s="39"/>
      <c r="B18" s="9"/>
      <c r="C18" s="9"/>
      <c r="D18" s="1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" customHeight="1" x14ac:dyDescent="0.25"/>
    <row r="20" spans="1:26" ht="12" customHeight="1" x14ac:dyDescent="0.25">
      <c r="A20" s="54" t="s">
        <v>36</v>
      </c>
      <c r="B20" s="54"/>
      <c r="C20" s="54"/>
      <c r="D20" s="54"/>
    </row>
    <row r="21" spans="1:26" ht="12" customHeight="1" x14ac:dyDescent="0.25">
      <c r="A21" s="54"/>
      <c r="B21" s="54"/>
      <c r="C21" s="54"/>
      <c r="D21" s="54"/>
    </row>
    <row r="22" spans="1:26" ht="12" customHeight="1" x14ac:dyDescent="0.25">
      <c r="A22" s="37" t="s">
        <v>4</v>
      </c>
      <c r="B22" s="37" t="s">
        <v>21</v>
      </c>
      <c r="C22" s="37" t="s">
        <v>4</v>
      </c>
      <c r="D22" s="37" t="s">
        <v>21</v>
      </c>
    </row>
    <row r="23" spans="1:26" ht="12" customHeight="1" x14ac:dyDescent="0.25">
      <c r="A23" s="37" t="s">
        <v>25</v>
      </c>
      <c r="B23" s="37" t="s">
        <v>22</v>
      </c>
      <c r="C23" s="37" t="s">
        <v>23</v>
      </c>
      <c r="D23" s="37" t="s">
        <v>7</v>
      </c>
    </row>
    <row r="24" spans="1:26" ht="12" customHeight="1" x14ac:dyDescent="0.25">
      <c r="A24" s="18"/>
      <c r="B24" s="38" t="s">
        <v>29</v>
      </c>
      <c r="C24" s="38"/>
      <c r="D24" s="38" t="s">
        <v>17</v>
      </c>
    </row>
    <row r="25" spans="1:26" ht="12" customHeight="1" x14ac:dyDescent="0.25">
      <c r="A25" s="33" t="s">
        <v>101</v>
      </c>
      <c r="B25" s="34">
        <v>2000</v>
      </c>
      <c r="C25" s="33">
        <v>5</v>
      </c>
      <c r="D25" s="34">
        <v>10000</v>
      </c>
    </row>
    <row r="26" spans="1:26" ht="12" customHeight="1" x14ac:dyDescent="0.25">
      <c r="A26" s="33" t="s">
        <v>102</v>
      </c>
      <c r="B26" s="34">
        <v>1500</v>
      </c>
      <c r="C26" s="33">
        <v>3</v>
      </c>
      <c r="D26" s="34">
        <v>4500</v>
      </c>
    </row>
    <row r="27" spans="1:26" ht="12" customHeight="1" x14ac:dyDescent="0.25">
      <c r="A27" s="33" t="s">
        <v>103</v>
      </c>
      <c r="B27" s="34">
        <v>3000</v>
      </c>
      <c r="C27" s="33">
        <v>5</v>
      </c>
      <c r="D27" s="34">
        <v>15000</v>
      </c>
    </row>
    <row r="28" spans="1:26" ht="12" customHeight="1" x14ac:dyDescent="0.25">
      <c r="A28" s="33" t="s">
        <v>104</v>
      </c>
      <c r="B28" s="34">
        <v>2000</v>
      </c>
      <c r="C28" s="33">
        <v>4</v>
      </c>
      <c r="D28" s="34">
        <v>8000</v>
      </c>
    </row>
    <row r="29" spans="1:26" ht="12" customHeight="1" x14ac:dyDescent="0.25">
      <c r="A29" s="33" t="s">
        <v>105</v>
      </c>
      <c r="B29" s="33" t="s">
        <v>106</v>
      </c>
      <c r="C29" s="33">
        <v>1</v>
      </c>
      <c r="D29" s="34">
        <v>5000</v>
      </c>
    </row>
    <row r="30" spans="1:26" ht="12" customHeight="1" x14ac:dyDescent="0.25">
      <c r="A30" s="33" t="s">
        <v>107</v>
      </c>
      <c r="B30" s="34">
        <v>1000</v>
      </c>
      <c r="C30" s="33">
        <v>5</v>
      </c>
      <c r="D30" s="34">
        <v>5000</v>
      </c>
    </row>
    <row r="31" spans="1:26" ht="12" customHeight="1" x14ac:dyDescent="0.25">
      <c r="A31" s="33" t="s">
        <v>108</v>
      </c>
      <c r="B31" s="34">
        <v>5000</v>
      </c>
      <c r="C31" s="33">
        <v>5</v>
      </c>
      <c r="D31" s="34">
        <v>25000</v>
      </c>
    </row>
    <row r="32" spans="1:26" ht="12" customHeight="1" x14ac:dyDescent="0.25">
      <c r="A32" s="33" t="s">
        <v>109</v>
      </c>
      <c r="B32" s="34">
        <v>2000</v>
      </c>
      <c r="C32" s="33">
        <v>5</v>
      </c>
      <c r="D32" s="34">
        <v>10000</v>
      </c>
    </row>
    <row r="33" spans="1:4" ht="12" customHeight="1" x14ac:dyDescent="0.25">
      <c r="A33" s="33" t="s">
        <v>110</v>
      </c>
      <c r="B33" s="33">
        <v>800</v>
      </c>
      <c r="C33" s="33">
        <v>3</v>
      </c>
      <c r="D33" s="34">
        <v>2400</v>
      </c>
    </row>
    <row r="34" spans="1:4" ht="12" customHeight="1" x14ac:dyDescent="0.25">
      <c r="A34" s="33" t="s">
        <v>111</v>
      </c>
      <c r="B34" s="34">
        <v>1000</v>
      </c>
      <c r="C34" s="33">
        <v>4</v>
      </c>
      <c r="D34" s="34">
        <v>4000</v>
      </c>
    </row>
    <row r="35" spans="1:4" ht="12" customHeight="1" x14ac:dyDescent="0.25">
      <c r="A35" s="33"/>
      <c r="B35" s="33"/>
      <c r="C35" s="33"/>
      <c r="D35" s="33">
        <f t="shared" ref="D35:D38" si="0">+B35*C35</f>
        <v>0</v>
      </c>
    </row>
    <row r="36" spans="1:4" ht="12" customHeight="1" x14ac:dyDescent="0.25">
      <c r="A36" s="33"/>
      <c r="B36" s="33"/>
      <c r="C36" s="33"/>
      <c r="D36" s="33">
        <f t="shared" si="0"/>
        <v>0</v>
      </c>
    </row>
    <row r="37" spans="1:4" ht="12" customHeight="1" x14ac:dyDescent="0.25">
      <c r="A37" s="33"/>
      <c r="B37" s="33"/>
      <c r="C37" s="33"/>
      <c r="D37" s="33">
        <f t="shared" si="0"/>
        <v>0</v>
      </c>
    </row>
    <row r="38" spans="1:4" ht="12" customHeight="1" x14ac:dyDescent="0.25">
      <c r="A38" s="33"/>
      <c r="B38" s="33"/>
      <c r="C38" s="33"/>
      <c r="D38" s="33">
        <f t="shared" si="0"/>
        <v>0</v>
      </c>
    </row>
    <row r="39" spans="1:4" ht="12" customHeight="1" x14ac:dyDescent="0.3">
      <c r="A39" s="8" t="s">
        <v>10</v>
      </c>
      <c r="B39" s="22"/>
      <c r="C39" s="10"/>
      <c r="D39" s="16">
        <f>SUM(D25:D38)</f>
        <v>88900</v>
      </c>
    </row>
    <row r="40" spans="1:4" ht="12" customHeight="1" x14ac:dyDescent="0.25"/>
    <row r="41" spans="1:4" ht="12" customHeight="1" x14ac:dyDescent="0.25"/>
    <row r="42" spans="1:4" ht="12" customHeight="1" x14ac:dyDescent="0.25"/>
    <row r="43" spans="1:4" ht="12" customHeight="1" x14ac:dyDescent="0.3">
      <c r="A43" s="1"/>
    </row>
    <row r="44" spans="1:4" ht="12" customHeight="1" x14ac:dyDescent="0.3">
      <c r="A44" s="1"/>
    </row>
    <row r="45" spans="1:4" ht="12" customHeight="1" x14ac:dyDescent="0.25"/>
    <row r="46" spans="1:4" ht="12" customHeight="1" x14ac:dyDescent="0.25"/>
    <row r="47" spans="1:4" ht="12" customHeight="1" x14ac:dyDescent="0.25"/>
    <row r="48" spans="1:4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</sheetData>
  <mergeCells count="1">
    <mergeCell ref="A20:D2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20"/>
  <sheetViews>
    <sheetView showGridLines="0" topLeftCell="A49" zoomScaleNormal="100" workbookViewId="0">
      <selection activeCell="F61" sqref="F61"/>
    </sheetView>
  </sheetViews>
  <sheetFormatPr baseColWidth="10" defaultColWidth="12.54296875" defaultRowHeight="15" customHeight="1" x14ac:dyDescent="0.25"/>
  <cols>
    <col min="1" max="1" width="67.453125" customWidth="1"/>
    <col min="2" max="2" width="22.7265625" bestFit="1" customWidth="1"/>
    <col min="3" max="3" width="9.81640625" bestFit="1" customWidth="1"/>
    <col min="4" max="4" width="12.90625" bestFit="1" customWidth="1"/>
    <col min="5" max="26" width="10.54296875" customWidth="1"/>
  </cols>
  <sheetData>
    <row r="1" spans="1:4" ht="12" customHeight="1" x14ac:dyDescent="0.25"/>
    <row r="2" spans="1:4" ht="12" customHeight="1" x14ac:dyDescent="0.25">
      <c r="A2" s="54" t="s">
        <v>37</v>
      </c>
      <c r="B2" s="54"/>
      <c r="C2" s="54"/>
      <c r="D2" s="54"/>
    </row>
    <row r="3" spans="1:4" ht="12" customHeight="1" x14ac:dyDescent="0.25">
      <c r="A3" s="54"/>
      <c r="B3" s="54"/>
      <c r="C3" s="54"/>
      <c r="D3" s="54"/>
    </row>
    <row r="4" spans="1:4" ht="12" customHeight="1" x14ac:dyDescent="0.25">
      <c r="A4" s="37" t="s">
        <v>4</v>
      </c>
      <c r="B4" s="37" t="s">
        <v>21</v>
      </c>
      <c r="C4" s="37" t="s">
        <v>4</v>
      </c>
      <c r="D4" s="37" t="s">
        <v>21</v>
      </c>
    </row>
    <row r="5" spans="1:4" ht="12" customHeight="1" x14ac:dyDescent="0.25">
      <c r="A5" s="37" t="s">
        <v>25</v>
      </c>
      <c r="B5" s="37" t="s">
        <v>22</v>
      </c>
      <c r="C5" s="37" t="s">
        <v>23</v>
      </c>
      <c r="D5" s="37" t="s">
        <v>7</v>
      </c>
    </row>
    <row r="6" spans="1:4" ht="12" customHeight="1" x14ac:dyDescent="0.25">
      <c r="A6" s="18"/>
      <c r="B6" s="38" t="s">
        <v>29</v>
      </c>
      <c r="C6" s="38"/>
      <c r="D6" s="38" t="s">
        <v>17</v>
      </c>
    </row>
    <row r="7" spans="1:4" ht="12" customHeight="1" x14ac:dyDescent="0.25">
      <c r="A7" s="33" t="s">
        <v>25</v>
      </c>
      <c r="B7" s="33" t="s">
        <v>112</v>
      </c>
      <c r="C7" s="33" t="s">
        <v>23</v>
      </c>
      <c r="D7" s="33" t="s">
        <v>48</v>
      </c>
    </row>
    <row r="8" spans="1:4" ht="12" customHeight="1" x14ac:dyDescent="0.25">
      <c r="A8" s="33" t="s">
        <v>113</v>
      </c>
      <c r="B8" s="34">
        <v>60000</v>
      </c>
      <c r="C8" s="33">
        <v>1</v>
      </c>
      <c r="D8" s="34">
        <v>60000</v>
      </c>
    </row>
    <row r="9" spans="1:4" ht="12" customHeight="1" x14ac:dyDescent="0.25">
      <c r="A9" s="33" t="s">
        <v>114</v>
      </c>
      <c r="B9" s="34">
        <v>30000</v>
      </c>
      <c r="C9" s="33">
        <v>1</v>
      </c>
      <c r="D9" s="34">
        <v>30000</v>
      </c>
    </row>
    <row r="10" spans="1:4" ht="12" customHeight="1" x14ac:dyDescent="0.25">
      <c r="A10" s="33" t="s">
        <v>115</v>
      </c>
      <c r="B10" s="34">
        <v>50000</v>
      </c>
      <c r="C10" s="33">
        <v>1</v>
      </c>
      <c r="D10" s="34">
        <v>50000</v>
      </c>
    </row>
    <row r="11" spans="1:4" ht="12" customHeight="1" x14ac:dyDescent="0.25">
      <c r="A11" s="33" t="s">
        <v>116</v>
      </c>
      <c r="B11" s="34">
        <v>20000</v>
      </c>
      <c r="C11" s="33">
        <v>1</v>
      </c>
      <c r="D11" s="34">
        <v>20000</v>
      </c>
    </row>
    <row r="12" spans="1:4" ht="12" customHeight="1" x14ac:dyDescent="0.3">
      <c r="A12" s="8" t="s">
        <v>10</v>
      </c>
      <c r="B12" s="22"/>
      <c r="C12" s="10"/>
      <c r="D12" s="16">
        <f>SUM(D7:D11)</f>
        <v>160000</v>
      </c>
    </row>
    <row r="13" spans="1:4" ht="12" customHeight="1" x14ac:dyDescent="0.3">
      <c r="A13" s="9"/>
      <c r="B13" s="9"/>
      <c r="C13" s="9"/>
      <c r="D13" s="1"/>
    </row>
    <row r="14" spans="1:4" ht="12" customHeight="1" x14ac:dyDescent="0.3">
      <c r="A14" s="1"/>
      <c r="B14" s="9"/>
      <c r="C14" s="9"/>
      <c r="D14" s="1"/>
    </row>
    <row r="15" spans="1:4" ht="12" customHeight="1" x14ac:dyDescent="0.25">
      <c r="A15" s="57" t="s">
        <v>38</v>
      </c>
      <c r="B15" s="57"/>
      <c r="C15" s="57"/>
      <c r="D15" s="57"/>
    </row>
    <row r="16" spans="1:4" ht="12" customHeight="1" x14ac:dyDescent="0.25">
      <c r="A16" s="58"/>
      <c r="B16" s="58"/>
      <c r="C16" s="58"/>
      <c r="D16" s="58"/>
    </row>
    <row r="17" spans="1:4" ht="12" customHeight="1" x14ac:dyDescent="0.25">
      <c r="A17" s="36" t="s">
        <v>4</v>
      </c>
      <c r="B17" s="36" t="s">
        <v>21</v>
      </c>
      <c r="C17" s="36" t="s">
        <v>4</v>
      </c>
      <c r="D17" s="36" t="s">
        <v>21</v>
      </c>
    </row>
    <row r="18" spans="1:4" ht="12.5" x14ac:dyDescent="0.25">
      <c r="A18" s="37" t="s">
        <v>25</v>
      </c>
      <c r="B18" s="37" t="s">
        <v>22</v>
      </c>
      <c r="C18" s="37" t="s">
        <v>23</v>
      </c>
      <c r="D18" s="37" t="s">
        <v>7</v>
      </c>
    </row>
    <row r="19" spans="1:4" ht="12.5" x14ac:dyDescent="0.25">
      <c r="A19" s="18"/>
      <c r="B19" s="38" t="s">
        <v>29</v>
      </c>
      <c r="C19" s="38"/>
      <c r="D19" s="38" t="s">
        <v>17</v>
      </c>
    </row>
    <row r="20" spans="1:4" ht="12.5" x14ac:dyDescent="0.25">
      <c r="A20" s="33" t="s">
        <v>117</v>
      </c>
      <c r="B20" s="34">
        <v>3000</v>
      </c>
      <c r="C20" s="33">
        <v>10</v>
      </c>
      <c r="D20" s="34">
        <v>30000</v>
      </c>
    </row>
    <row r="21" spans="1:4" ht="12.5" x14ac:dyDescent="0.25">
      <c r="A21" s="33" t="s">
        <v>118</v>
      </c>
      <c r="B21" s="34">
        <v>7000</v>
      </c>
      <c r="C21" s="33">
        <v>5</v>
      </c>
      <c r="D21" s="34">
        <v>35000</v>
      </c>
    </row>
    <row r="22" spans="1:4" ht="12.5" x14ac:dyDescent="0.25">
      <c r="A22" s="33" t="s">
        <v>119</v>
      </c>
      <c r="B22" s="34">
        <v>10000</v>
      </c>
      <c r="C22" s="33">
        <v>1</v>
      </c>
      <c r="D22" s="34">
        <v>10000</v>
      </c>
    </row>
    <row r="23" spans="1:4" ht="12.5" x14ac:dyDescent="0.25">
      <c r="A23" s="33" t="s">
        <v>120</v>
      </c>
      <c r="B23" s="34">
        <v>20000</v>
      </c>
      <c r="C23" s="33">
        <v>1</v>
      </c>
      <c r="D23" s="34">
        <v>20000</v>
      </c>
    </row>
    <row r="24" spans="1:4" ht="12.5" x14ac:dyDescent="0.25">
      <c r="A24" s="33" t="s">
        <v>121</v>
      </c>
      <c r="B24" s="34">
        <v>5000</v>
      </c>
      <c r="C24" s="33">
        <v>3</v>
      </c>
      <c r="D24" s="34">
        <v>15000</v>
      </c>
    </row>
    <row r="25" spans="1:4" ht="12.5" x14ac:dyDescent="0.25">
      <c r="A25" s="33" t="s">
        <v>10</v>
      </c>
      <c r="B25" s="34"/>
      <c r="C25" s="33"/>
      <c r="D25" s="33">
        <f>SUM(D20:D24)</f>
        <v>110000</v>
      </c>
    </row>
    <row r="26" spans="1:4" ht="13" x14ac:dyDescent="0.3">
      <c r="A26" s="9"/>
      <c r="B26" s="9"/>
      <c r="C26" s="9"/>
      <c r="D26" s="1"/>
    </row>
    <row r="27" spans="1:4" ht="12" customHeight="1" x14ac:dyDescent="0.3">
      <c r="A27" s="9"/>
      <c r="B27" s="9"/>
      <c r="C27" s="9"/>
      <c r="D27" s="1"/>
    </row>
    <row r="28" spans="1:4" ht="12" customHeight="1" x14ac:dyDescent="0.3">
      <c r="A28" s="9"/>
      <c r="B28" s="9"/>
      <c r="C28" s="9"/>
      <c r="D28" s="1"/>
    </row>
    <row r="29" spans="1:4" ht="12" customHeight="1" x14ac:dyDescent="0.3">
      <c r="A29" s="1"/>
      <c r="B29" s="9"/>
      <c r="C29" s="9"/>
      <c r="D29" s="1"/>
    </row>
    <row r="30" spans="1:4" ht="12" customHeight="1" x14ac:dyDescent="0.3">
      <c r="A30" s="1"/>
      <c r="B30" s="9"/>
      <c r="C30" s="9"/>
      <c r="D30" s="1"/>
    </row>
    <row r="31" spans="1:4" ht="12" customHeight="1" x14ac:dyDescent="0.25">
      <c r="A31" s="59" t="s">
        <v>39</v>
      </c>
      <c r="B31" s="55"/>
      <c r="C31" s="55"/>
      <c r="D31" s="55"/>
    </row>
    <row r="32" spans="1:4" ht="12" customHeight="1" x14ac:dyDescent="0.25">
      <c r="A32" s="59"/>
      <c r="B32" s="55"/>
      <c r="C32" s="55"/>
      <c r="D32" s="55"/>
    </row>
    <row r="33" spans="1:4" ht="12" customHeight="1" x14ac:dyDescent="0.25">
      <c r="A33" s="60" t="s">
        <v>44</v>
      </c>
      <c r="B33" s="51" t="s">
        <v>21</v>
      </c>
      <c r="C33" s="36" t="s">
        <v>4</v>
      </c>
      <c r="D33" s="36" t="s">
        <v>21</v>
      </c>
    </row>
    <row r="34" spans="1:4" ht="12" customHeight="1" x14ac:dyDescent="0.25">
      <c r="A34" s="61"/>
      <c r="B34" s="52" t="s">
        <v>22</v>
      </c>
      <c r="C34" s="37" t="s">
        <v>23</v>
      </c>
      <c r="D34" s="37" t="s">
        <v>7</v>
      </c>
    </row>
    <row r="35" spans="1:4" ht="12" customHeight="1" x14ac:dyDescent="0.25">
      <c r="A35" s="62"/>
      <c r="B35" s="53" t="s">
        <v>29</v>
      </c>
      <c r="C35" s="38"/>
      <c r="D35" s="38" t="s">
        <v>17</v>
      </c>
    </row>
    <row r="36" spans="1:4" ht="12" customHeight="1" x14ac:dyDescent="0.25">
      <c r="A36" s="33" t="s">
        <v>122</v>
      </c>
      <c r="B36" s="34" t="s">
        <v>123</v>
      </c>
      <c r="C36" s="33" t="s">
        <v>55</v>
      </c>
      <c r="D36" s="34">
        <v>60000</v>
      </c>
    </row>
    <row r="37" spans="1:4" ht="12" customHeight="1" x14ac:dyDescent="0.25">
      <c r="A37" s="33" t="s">
        <v>124</v>
      </c>
      <c r="B37" s="34" t="s">
        <v>77</v>
      </c>
      <c r="C37" s="33" t="s">
        <v>55</v>
      </c>
      <c r="D37" s="34">
        <v>50000</v>
      </c>
    </row>
    <row r="38" spans="1:4" ht="12" customHeight="1" x14ac:dyDescent="0.25">
      <c r="A38" s="33" t="s">
        <v>125</v>
      </c>
      <c r="B38" s="34">
        <v>5000</v>
      </c>
      <c r="C38" s="33">
        <v>5</v>
      </c>
      <c r="D38" s="34">
        <v>25000</v>
      </c>
    </row>
    <row r="39" spans="1:4" ht="12" customHeight="1" x14ac:dyDescent="0.25">
      <c r="A39" s="33" t="s">
        <v>126</v>
      </c>
      <c r="B39" s="34">
        <v>3000</v>
      </c>
      <c r="C39" s="33">
        <v>5</v>
      </c>
      <c r="D39" s="34">
        <v>15000</v>
      </c>
    </row>
    <row r="40" spans="1:4" ht="12" customHeight="1" x14ac:dyDescent="0.25">
      <c r="A40" s="33" t="s">
        <v>127</v>
      </c>
      <c r="B40" s="34" t="s">
        <v>63</v>
      </c>
      <c r="C40" s="33" t="s">
        <v>55</v>
      </c>
      <c r="D40" s="34">
        <v>25000</v>
      </c>
    </row>
    <row r="41" spans="1:4" ht="12" customHeight="1" x14ac:dyDescent="0.25">
      <c r="A41" s="33" t="s">
        <v>128</v>
      </c>
      <c r="B41" s="34">
        <v>3000</v>
      </c>
      <c r="C41" s="33">
        <v>5</v>
      </c>
      <c r="D41" s="34">
        <v>15000</v>
      </c>
    </row>
    <row r="42" spans="1:4" ht="12" customHeight="1" x14ac:dyDescent="0.25">
      <c r="A42" s="33" t="s">
        <v>129</v>
      </c>
      <c r="B42" s="34">
        <v>3000</v>
      </c>
      <c r="C42" s="33">
        <v>5</v>
      </c>
      <c r="D42" s="34">
        <v>15000</v>
      </c>
    </row>
    <row r="43" spans="1:4" ht="12" customHeight="1" x14ac:dyDescent="0.25">
      <c r="A43" s="33"/>
      <c r="B43" s="34"/>
      <c r="C43" s="33"/>
      <c r="D43" s="33">
        <f t="shared" ref="D43:D44" si="0">+B43*C43</f>
        <v>0</v>
      </c>
    </row>
    <row r="44" spans="1:4" ht="12" customHeight="1" x14ac:dyDescent="0.25">
      <c r="A44" s="33"/>
      <c r="B44" s="34"/>
      <c r="C44" s="33"/>
      <c r="D44" s="33">
        <f t="shared" si="0"/>
        <v>0</v>
      </c>
    </row>
    <row r="45" spans="1:4" ht="12" customHeight="1" x14ac:dyDescent="0.3">
      <c r="A45" s="8" t="s">
        <v>10</v>
      </c>
      <c r="B45" s="22"/>
      <c r="C45" s="10"/>
      <c r="D45" s="16">
        <f>SUM(D36:D44)</f>
        <v>205000</v>
      </c>
    </row>
    <row r="46" spans="1:4" ht="12" customHeight="1" x14ac:dyDescent="0.3">
      <c r="A46" s="9"/>
      <c r="B46" s="9"/>
      <c r="C46" s="9"/>
      <c r="D46" s="1"/>
    </row>
    <row r="47" spans="1:4" ht="12" customHeight="1" x14ac:dyDescent="0.3">
      <c r="A47" s="9"/>
      <c r="B47" s="9"/>
      <c r="C47" s="9"/>
      <c r="D47" s="1"/>
    </row>
    <row r="48" spans="1:4" ht="12" customHeight="1" x14ac:dyDescent="0.3">
      <c r="A48" s="9"/>
      <c r="B48" s="9"/>
      <c r="C48" s="9"/>
      <c r="D48" s="1"/>
    </row>
    <row r="49" spans="1:4" ht="12" customHeight="1" x14ac:dyDescent="0.3">
      <c r="A49" s="9"/>
      <c r="B49" s="9"/>
      <c r="C49" s="9"/>
      <c r="D49" s="1"/>
    </row>
    <row r="50" spans="1:4" ht="12" customHeight="1" x14ac:dyDescent="0.3">
      <c r="A50" s="9"/>
      <c r="B50" s="9"/>
      <c r="C50" s="9"/>
      <c r="D50" s="1"/>
    </row>
    <row r="51" spans="1:4" ht="12" customHeight="1" x14ac:dyDescent="0.3">
      <c r="A51" s="9"/>
      <c r="B51" s="9"/>
      <c r="C51" s="9"/>
      <c r="D51" s="1"/>
    </row>
    <row r="52" spans="1:4" ht="12" customHeight="1" x14ac:dyDescent="0.3">
      <c r="A52" s="1"/>
      <c r="B52" s="9"/>
      <c r="C52" s="9"/>
      <c r="D52" s="1"/>
    </row>
    <row r="53" spans="1:4" ht="12" customHeight="1" x14ac:dyDescent="0.3">
      <c r="A53" s="1" t="s">
        <v>40</v>
      </c>
    </row>
    <row r="54" spans="1:4" ht="12" customHeight="1" x14ac:dyDescent="0.25">
      <c r="A54" s="9" t="s">
        <v>4</v>
      </c>
    </row>
    <row r="55" spans="1:4" ht="12" customHeight="1" x14ac:dyDescent="0.25">
      <c r="A55" s="36" t="s">
        <v>4</v>
      </c>
      <c r="B55" s="36" t="s">
        <v>21</v>
      </c>
      <c r="C55" s="36" t="s">
        <v>4</v>
      </c>
      <c r="D55" s="36" t="s">
        <v>21</v>
      </c>
    </row>
    <row r="56" spans="1:4" ht="12" customHeight="1" x14ac:dyDescent="0.25">
      <c r="A56" s="37" t="s">
        <v>25</v>
      </c>
      <c r="B56" s="37" t="s">
        <v>22</v>
      </c>
      <c r="C56" s="37" t="s">
        <v>23</v>
      </c>
      <c r="D56" s="37" t="s">
        <v>7</v>
      </c>
    </row>
    <row r="57" spans="1:4" ht="12" customHeight="1" x14ac:dyDescent="0.25">
      <c r="A57" s="18"/>
      <c r="B57" s="38" t="s">
        <v>29</v>
      </c>
      <c r="C57" s="38"/>
      <c r="D57" s="38" t="s">
        <v>17</v>
      </c>
    </row>
    <row r="58" spans="1:4" ht="12" customHeight="1" x14ac:dyDescent="0.25">
      <c r="A58" s="33"/>
      <c r="B58" s="34"/>
      <c r="C58" s="33"/>
      <c r="D58" s="33">
        <f t="shared" ref="D58:D65" si="1">+B58*C58</f>
        <v>0</v>
      </c>
    </row>
    <row r="59" spans="1:4" ht="12" customHeight="1" x14ac:dyDescent="0.25">
      <c r="A59" s="33"/>
      <c r="B59" s="34"/>
      <c r="C59" s="33"/>
      <c r="D59" s="33">
        <f t="shared" si="1"/>
        <v>0</v>
      </c>
    </row>
    <row r="60" spans="1:4" ht="12" customHeight="1" x14ac:dyDescent="0.25">
      <c r="A60" s="33"/>
      <c r="B60" s="34"/>
      <c r="C60" s="33"/>
      <c r="D60" s="33">
        <f t="shared" si="1"/>
        <v>0</v>
      </c>
    </row>
    <row r="61" spans="1:4" ht="12" customHeight="1" x14ac:dyDescent="0.25">
      <c r="A61" s="33"/>
      <c r="B61" s="34"/>
      <c r="C61" s="33"/>
      <c r="D61" s="33">
        <f t="shared" si="1"/>
        <v>0</v>
      </c>
    </row>
    <row r="62" spans="1:4" ht="12" customHeight="1" x14ac:dyDescent="0.25">
      <c r="A62" s="33"/>
      <c r="B62" s="34"/>
      <c r="C62" s="33"/>
      <c r="D62" s="33">
        <f t="shared" si="1"/>
        <v>0</v>
      </c>
    </row>
    <row r="63" spans="1:4" ht="12" customHeight="1" x14ac:dyDescent="0.25">
      <c r="A63" s="33"/>
      <c r="B63" s="34"/>
      <c r="C63" s="33"/>
      <c r="D63" s="33">
        <f t="shared" si="1"/>
        <v>0</v>
      </c>
    </row>
    <row r="64" spans="1:4" ht="12" customHeight="1" x14ac:dyDescent="0.25">
      <c r="A64" s="33"/>
      <c r="B64" s="34"/>
      <c r="C64" s="33"/>
      <c r="D64" s="33">
        <f t="shared" si="1"/>
        <v>0</v>
      </c>
    </row>
    <row r="65" spans="1:4" ht="12" customHeight="1" x14ac:dyDescent="0.25">
      <c r="A65" s="33"/>
      <c r="B65" s="33"/>
      <c r="C65" s="33"/>
      <c r="D65" s="33">
        <f t="shared" si="1"/>
        <v>0</v>
      </c>
    </row>
    <row r="66" spans="1:4" ht="12" customHeight="1" x14ac:dyDescent="0.3">
      <c r="A66" s="8" t="s">
        <v>10</v>
      </c>
      <c r="B66" s="22"/>
      <c r="C66" s="10"/>
      <c r="D66" s="16">
        <f>SUM(D58:D65)</f>
        <v>0</v>
      </c>
    </row>
    <row r="67" spans="1:4" ht="12" customHeight="1" x14ac:dyDescent="0.25"/>
    <row r="68" spans="1:4" ht="12" customHeight="1" x14ac:dyDescent="0.25"/>
    <row r="69" spans="1:4" ht="12" customHeight="1" x14ac:dyDescent="0.25"/>
    <row r="70" spans="1:4" ht="12" customHeight="1" x14ac:dyDescent="0.3">
      <c r="A70" s="1" t="s">
        <v>41</v>
      </c>
    </row>
    <row r="71" spans="1:4" ht="12" customHeight="1" x14ac:dyDescent="0.25">
      <c r="A71" s="9" t="s">
        <v>4</v>
      </c>
    </row>
    <row r="72" spans="1:4" ht="12" customHeight="1" x14ac:dyDescent="0.25">
      <c r="A72" s="36" t="s">
        <v>4</v>
      </c>
      <c r="B72" s="36" t="s">
        <v>21</v>
      </c>
      <c r="C72" s="36" t="s">
        <v>4</v>
      </c>
      <c r="D72" s="36" t="s">
        <v>21</v>
      </c>
    </row>
    <row r="73" spans="1:4" ht="12" customHeight="1" x14ac:dyDescent="0.25">
      <c r="A73" s="37" t="s">
        <v>25</v>
      </c>
      <c r="B73" s="37" t="s">
        <v>22</v>
      </c>
      <c r="C73" s="37" t="s">
        <v>23</v>
      </c>
      <c r="D73" s="37" t="s">
        <v>7</v>
      </c>
    </row>
    <row r="74" spans="1:4" ht="12" customHeight="1" x14ac:dyDescent="0.25">
      <c r="A74" s="18"/>
      <c r="B74" s="38" t="s">
        <v>29</v>
      </c>
      <c r="C74" s="38"/>
      <c r="D74" s="38" t="s">
        <v>17</v>
      </c>
    </row>
    <row r="75" spans="1:4" ht="12" customHeight="1" x14ac:dyDescent="0.25">
      <c r="A75" s="33"/>
      <c r="B75" s="34"/>
      <c r="C75" s="33"/>
      <c r="D75" s="33">
        <f t="shared" ref="D75:D82" si="2">+B75*C75</f>
        <v>0</v>
      </c>
    </row>
    <row r="76" spans="1:4" ht="12" customHeight="1" x14ac:dyDescent="0.25">
      <c r="A76" s="33"/>
      <c r="B76" s="34"/>
      <c r="C76" s="33"/>
      <c r="D76" s="33">
        <f t="shared" si="2"/>
        <v>0</v>
      </c>
    </row>
    <row r="77" spans="1:4" ht="12" customHeight="1" x14ac:dyDescent="0.25">
      <c r="A77" s="33"/>
      <c r="B77" s="34"/>
      <c r="C77" s="33"/>
      <c r="D77" s="33">
        <f t="shared" si="2"/>
        <v>0</v>
      </c>
    </row>
    <row r="78" spans="1:4" ht="12" customHeight="1" x14ac:dyDescent="0.25">
      <c r="A78" s="33"/>
      <c r="B78" s="34"/>
      <c r="C78" s="33"/>
      <c r="D78" s="33">
        <f t="shared" si="2"/>
        <v>0</v>
      </c>
    </row>
    <row r="79" spans="1:4" ht="12" customHeight="1" x14ac:dyDescent="0.25">
      <c r="A79" s="33"/>
      <c r="B79" s="34"/>
      <c r="C79" s="33"/>
      <c r="D79" s="33">
        <f t="shared" si="2"/>
        <v>0</v>
      </c>
    </row>
    <row r="80" spans="1:4" ht="12" customHeight="1" x14ac:dyDescent="0.25">
      <c r="A80" s="33"/>
      <c r="B80" s="34"/>
      <c r="C80" s="33"/>
      <c r="D80" s="33">
        <f t="shared" si="2"/>
        <v>0</v>
      </c>
    </row>
    <row r="81" spans="1:4" ht="12" customHeight="1" x14ac:dyDescent="0.25">
      <c r="A81" s="33"/>
      <c r="B81" s="34"/>
      <c r="C81" s="33"/>
      <c r="D81" s="33">
        <f t="shared" si="2"/>
        <v>0</v>
      </c>
    </row>
    <row r="82" spans="1:4" ht="12" customHeight="1" x14ac:dyDescent="0.25">
      <c r="A82" s="33"/>
      <c r="B82" s="33"/>
      <c r="C82" s="33"/>
      <c r="D82" s="33">
        <f t="shared" si="2"/>
        <v>0</v>
      </c>
    </row>
    <row r="83" spans="1:4" ht="12" customHeight="1" x14ac:dyDescent="0.3">
      <c r="A83" s="8" t="s">
        <v>10</v>
      </c>
      <c r="B83" s="22"/>
      <c r="C83" s="10"/>
      <c r="D83" s="16">
        <f>SUM(D75:D82)</f>
        <v>0</v>
      </c>
    </row>
    <row r="84" spans="1:4" ht="12" customHeight="1" x14ac:dyDescent="0.25"/>
    <row r="85" spans="1:4" ht="12" customHeight="1" x14ac:dyDescent="0.25"/>
    <row r="86" spans="1:4" ht="12" customHeight="1" x14ac:dyDescent="0.25"/>
    <row r="87" spans="1:4" ht="12" customHeight="1" x14ac:dyDescent="0.25"/>
    <row r="88" spans="1:4" ht="12" customHeight="1" x14ac:dyDescent="0.25"/>
    <row r="89" spans="1:4" ht="12" customHeight="1" x14ac:dyDescent="0.25"/>
    <row r="90" spans="1:4" ht="12" customHeight="1" x14ac:dyDescent="0.25"/>
    <row r="91" spans="1:4" ht="12" customHeight="1" x14ac:dyDescent="0.25"/>
    <row r="92" spans="1:4" ht="12" customHeight="1" x14ac:dyDescent="0.25"/>
    <row r="93" spans="1:4" ht="12" customHeight="1" x14ac:dyDescent="0.25"/>
    <row r="94" spans="1:4" ht="12" customHeight="1" x14ac:dyDescent="0.25"/>
    <row r="95" spans="1:4" ht="12" customHeight="1" x14ac:dyDescent="0.25"/>
    <row r="96" spans="1:4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</sheetData>
  <mergeCells count="4">
    <mergeCell ref="A15:D16"/>
    <mergeCell ref="A31:D32"/>
    <mergeCell ref="A2:D3"/>
    <mergeCell ref="A33:A35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zoomScale="130" zoomScaleNormal="130" workbookViewId="0">
      <selection activeCell="C12" sqref="C12"/>
    </sheetView>
  </sheetViews>
  <sheetFormatPr baseColWidth="10" defaultColWidth="12.54296875" defaultRowHeight="15" customHeight="1" x14ac:dyDescent="0.25"/>
  <cols>
    <col min="1" max="1" width="44.54296875" customWidth="1"/>
    <col min="2" max="2" width="12.453125" customWidth="1"/>
    <col min="3" max="26" width="11.453125" customWidth="1"/>
  </cols>
  <sheetData>
    <row r="1" spans="1:26" ht="18" customHeight="1" x14ac:dyDescent="0.35">
      <c r="A1" s="40" t="s">
        <v>42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2" customHeight="1" x14ac:dyDescent="0.25"/>
    <row r="3" spans="1:26" ht="12" customHeight="1" x14ac:dyDescent="0.25"/>
    <row r="4" spans="1:26" ht="12" customHeight="1" x14ac:dyDescent="0.25">
      <c r="A4" s="14"/>
      <c r="B4" s="36" t="s">
        <v>21</v>
      </c>
    </row>
    <row r="5" spans="1:26" ht="12" customHeight="1" x14ac:dyDescent="0.3">
      <c r="A5" s="42" t="s">
        <v>8</v>
      </c>
      <c r="B5" s="37" t="s">
        <v>7</v>
      </c>
    </row>
    <row r="6" spans="1:26" ht="12" customHeight="1" x14ac:dyDescent="0.25">
      <c r="A6" s="18"/>
      <c r="B6" s="38" t="s">
        <v>17</v>
      </c>
    </row>
    <row r="7" spans="1:26" ht="12" customHeight="1" x14ac:dyDescent="0.25">
      <c r="A7" s="33" t="s">
        <v>43</v>
      </c>
      <c r="B7" s="43">
        <f>REMUNERACIONES!H25</f>
        <v>44000000</v>
      </c>
      <c r="C7" s="29"/>
      <c r="D7" s="29"/>
      <c r="E7" s="29"/>
    </row>
    <row r="8" spans="1:26" ht="12" customHeight="1" x14ac:dyDescent="0.25">
      <c r="A8" s="33" t="s">
        <v>20</v>
      </c>
      <c r="B8" s="43">
        <f>'EQUIPOS E INFRAESTRUCTURA'!F25</f>
        <v>3677000</v>
      </c>
      <c r="C8" s="29"/>
      <c r="D8" s="29"/>
      <c r="E8" s="29"/>
    </row>
    <row r="9" spans="1:26" ht="12" customHeight="1" x14ac:dyDescent="0.25">
      <c r="A9" s="33" t="s">
        <v>32</v>
      </c>
      <c r="B9" s="43">
        <f>'EQUIPOS E INFRAESTRUCTURA'!F43</f>
        <v>1450000</v>
      </c>
      <c r="C9" s="29"/>
      <c r="D9" s="29"/>
      <c r="E9" s="29"/>
    </row>
    <row r="10" spans="1:26" ht="12" customHeight="1" x14ac:dyDescent="0.25">
      <c r="A10" s="33" t="s">
        <v>35</v>
      </c>
      <c r="B10" s="43">
        <f>'SOFTWARE Y FUNGIBLES'!D14</f>
        <v>212000</v>
      </c>
      <c r="C10" s="29"/>
      <c r="D10" s="29"/>
      <c r="E10" s="29"/>
    </row>
    <row r="11" spans="1:26" ht="12" customHeight="1" x14ac:dyDescent="0.25">
      <c r="A11" s="33" t="s">
        <v>37</v>
      </c>
      <c r="B11" s="43">
        <f>OTROS!D12</f>
        <v>160000</v>
      </c>
      <c r="C11" s="29"/>
      <c r="D11" s="29"/>
      <c r="E11" s="29"/>
    </row>
    <row r="12" spans="1:26" ht="12" customHeight="1" x14ac:dyDescent="0.25">
      <c r="A12" s="33" t="s">
        <v>39</v>
      </c>
      <c r="B12" s="43">
        <f>OTROS!D45</f>
        <v>205000</v>
      </c>
      <c r="C12" s="29"/>
      <c r="D12" s="29"/>
      <c r="E12" s="29"/>
    </row>
    <row r="13" spans="1:26" ht="12" customHeight="1" x14ac:dyDescent="0.25">
      <c r="A13" s="33" t="s">
        <v>38</v>
      </c>
      <c r="B13" s="43">
        <f>OTROS!D25</f>
        <v>110000</v>
      </c>
      <c r="C13" s="29"/>
      <c r="D13" s="29"/>
      <c r="E13" s="29"/>
    </row>
    <row r="14" spans="1:26" ht="12" customHeight="1" x14ac:dyDescent="0.3">
      <c r="A14" s="16" t="s">
        <v>7</v>
      </c>
      <c r="B14" s="44">
        <f>SUM(B7:B13)</f>
        <v>49814000</v>
      </c>
      <c r="C14" s="2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">
      <c r="A15" s="9"/>
      <c r="B15" s="45"/>
    </row>
    <row r="16" spans="1:26" ht="12" customHeight="1" x14ac:dyDescent="0.3">
      <c r="A16" s="1"/>
      <c r="B16" s="45"/>
    </row>
    <row r="17" spans="1:2" ht="12" customHeight="1" x14ac:dyDescent="0.3">
      <c r="A17" s="1"/>
      <c r="B17" s="46"/>
    </row>
    <row r="18" spans="1:2" ht="12" customHeight="1" x14ac:dyDescent="0.3">
      <c r="A18" s="1"/>
      <c r="B18" s="46"/>
    </row>
    <row r="19" spans="1:2" ht="12" customHeight="1" x14ac:dyDescent="0.3">
      <c r="A19" s="1"/>
      <c r="B19" s="46"/>
    </row>
    <row r="20" spans="1:2" ht="12" customHeight="1" x14ac:dyDescent="0.3">
      <c r="A20" s="1"/>
      <c r="B20" s="46"/>
    </row>
    <row r="21" spans="1:2" ht="12" customHeight="1" x14ac:dyDescent="0.3">
      <c r="A21" s="1"/>
      <c r="B21" s="46"/>
    </row>
    <row r="22" spans="1:2" ht="12" customHeight="1" x14ac:dyDescent="0.3">
      <c r="A22" s="1"/>
      <c r="B22" s="46"/>
    </row>
    <row r="23" spans="1:2" ht="12" customHeight="1" x14ac:dyDescent="0.3">
      <c r="A23" s="1"/>
      <c r="B23" s="46"/>
    </row>
    <row r="24" spans="1:2" ht="12" customHeight="1" x14ac:dyDescent="0.25"/>
    <row r="25" spans="1:2" ht="12" customHeight="1" x14ac:dyDescent="0.3">
      <c r="A25" s="1"/>
      <c r="B25" s="46"/>
    </row>
    <row r="26" spans="1:2" ht="12" customHeight="1" x14ac:dyDescent="0.3">
      <c r="A26" s="1"/>
      <c r="B26" s="46"/>
    </row>
    <row r="27" spans="1:2" ht="12" customHeight="1" x14ac:dyDescent="0.3">
      <c r="A27" s="1"/>
      <c r="B27" s="46"/>
    </row>
    <row r="28" spans="1:2" ht="12" customHeight="1" x14ac:dyDescent="0.3">
      <c r="A28" s="23"/>
    </row>
    <row r="29" spans="1:2" ht="12" customHeight="1" x14ac:dyDescent="0.25"/>
    <row r="30" spans="1:2" ht="12" customHeight="1" x14ac:dyDescent="0.25"/>
    <row r="31" spans="1:2" ht="12" customHeight="1" x14ac:dyDescent="0.25"/>
    <row r="32" spans="1: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REMUNERACIONES</vt:lpstr>
      <vt:lpstr>EQUIPOS E INFRAESTRUCTURA</vt:lpstr>
      <vt:lpstr>SOFTWARE Y FUNGIBLES</vt:lpstr>
      <vt:lpstr>OTROS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FONDEF</dc:creator>
  <cp:lastModifiedBy>Martin H</cp:lastModifiedBy>
  <dcterms:created xsi:type="dcterms:W3CDTF">1999-03-29T20:02:48Z</dcterms:created>
  <dcterms:modified xsi:type="dcterms:W3CDTF">2025-12-06T04:27:30Z</dcterms:modified>
</cp:coreProperties>
</file>